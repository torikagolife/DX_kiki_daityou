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Security\企画部\kubota\【医療機器管理】\"/>
    </mc:Choice>
  </mc:AlternateContent>
  <xr:revisionPtr revIDLastSave="0" documentId="13_ncr:1_{12F8B65F-685E-4559-AD1F-FBCF752B6D05}" xr6:coauthVersionLast="47" xr6:coauthVersionMax="47" xr10:uidLastSave="{00000000-0000-0000-0000-000000000000}"/>
  <bookViews>
    <workbookView xWindow="-120" yWindow="-120" windowWidth="29040" windowHeight="15720" firstSheet="3" activeTab="11" xr2:uid="{00000000-000D-0000-FFFF-FFFF00000000}"/>
  </bookViews>
  <sheets>
    <sheet name="機器マスタ" sheetId="1" r:id="rId1"/>
    <sheet name="機器区分マスタ" sheetId="2" r:id="rId2"/>
    <sheet name="部署マスタ" sheetId="3" r:id="rId3"/>
    <sheet name="保管場所マスタ" sheetId="4" r:id="rId4"/>
    <sheet name="メーカーマスタ" sheetId="5" r:id="rId5"/>
    <sheet name="点検表マスタ" sheetId="6" r:id="rId6"/>
    <sheet name="点検項目マスタ" sheetId="7" r:id="rId7"/>
    <sheet name="アクションマスタ" sheetId="8" r:id="rId8"/>
    <sheet name="ユーザーマスタ" sheetId="9" r:id="rId9"/>
    <sheet name="医療機器履歴" sheetId="10" r:id="rId10"/>
    <sheet name="点検結果" sheetId="11" r:id="rId11"/>
    <sheet name="医療機器管理台帳(View)" sheetId="12" r:id="rId12"/>
  </sheets>
  <definedNames>
    <definedName name="_xlnm._FilterDatabase" localSheetId="7" hidden="1">アクションマスタ!$A$1:$F$1</definedName>
    <definedName name="_xlnm._FilterDatabase" localSheetId="4" hidden="1">メーカーマスタ!$A$1:$I$1</definedName>
    <definedName name="_xlnm._FilterDatabase" localSheetId="8" hidden="1">ユーザーマスタ!$A$1:$G$1</definedName>
    <definedName name="_xlnm._FilterDatabase" localSheetId="11" hidden="1">'医療機器管理台帳(View)'!$A$1:$R$1</definedName>
    <definedName name="_xlnm._FilterDatabase" localSheetId="9" hidden="1">医療機器履歴!$A$1:$M$1</definedName>
    <definedName name="_xlnm._FilterDatabase" localSheetId="0" hidden="1">機器マスタ!$A$1:$U$1</definedName>
    <definedName name="_xlnm._FilterDatabase" localSheetId="1" hidden="1">機器区分マスタ!$A$1:$J$1</definedName>
    <definedName name="_xlnm._FilterDatabase" localSheetId="10" hidden="1">点検結果!$A$1:$C$1</definedName>
    <definedName name="_xlnm._FilterDatabase" localSheetId="6" hidden="1">点検項目マスタ!$A$1:$H$1</definedName>
    <definedName name="_xlnm._FilterDatabase" localSheetId="5" hidden="1">点検表マスタ!$A$1:$G$1</definedName>
    <definedName name="_xlnm._FilterDatabase" localSheetId="2" hidden="1">部署マスタ!$A$1:$G$1</definedName>
    <definedName name="_xlnm._FilterDatabase" localSheetId="3" hidden="1">保管場所マスタ!$A$1:$H$1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12" l="1"/>
  <c r="L21" i="12"/>
  <c r="M21" i="12" s="1"/>
  <c r="J21" i="12"/>
  <c r="K21" i="12" s="1"/>
  <c r="F21" i="12"/>
  <c r="E21" i="12"/>
  <c r="B21" i="12"/>
  <c r="A21" i="12"/>
  <c r="R21" i="12" s="1"/>
  <c r="P20" i="12"/>
  <c r="O20" i="12"/>
  <c r="N20" i="12"/>
  <c r="L20" i="12"/>
  <c r="M20" i="12" s="1"/>
  <c r="H20" i="12"/>
  <c r="F20" i="12"/>
  <c r="A20" i="12"/>
  <c r="C20" i="12" s="1"/>
  <c r="R19" i="12"/>
  <c r="P19" i="12"/>
  <c r="N19" i="12"/>
  <c r="J19" i="12"/>
  <c r="K19" i="12" s="1"/>
  <c r="H19" i="12"/>
  <c r="F19" i="12"/>
  <c r="B19" i="12"/>
  <c r="A19" i="12"/>
  <c r="E19" i="12" s="1"/>
  <c r="R18" i="12"/>
  <c r="P18" i="12"/>
  <c r="L18" i="12"/>
  <c r="M18" i="12" s="1"/>
  <c r="J18" i="12"/>
  <c r="K18" i="12" s="1"/>
  <c r="H18" i="12"/>
  <c r="B18" i="12"/>
  <c r="A18" i="12"/>
  <c r="O18" i="12" s="1"/>
  <c r="R17" i="12"/>
  <c r="P17" i="12"/>
  <c r="O17" i="12"/>
  <c r="N17" i="12"/>
  <c r="L17" i="12"/>
  <c r="M17" i="12" s="1"/>
  <c r="J17" i="12"/>
  <c r="K17" i="12" s="1"/>
  <c r="F17" i="12"/>
  <c r="E17" i="12"/>
  <c r="B17" i="12"/>
  <c r="A17" i="12"/>
  <c r="Q17" i="12" s="1"/>
  <c r="P16" i="12"/>
  <c r="O16" i="12"/>
  <c r="N16" i="12"/>
  <c r="L16" i="12"/>
  <c r="M16" i="12" s="1"/>
  <c r="H16" i="12"/>
  <c r="F16" i="12"/>
  <c r="A16" i="12"/>
  <c r="C16" i="12" s="1"/>
  <c r="R15" i="12"/>
  <c r="P15" i="12"/>
  <c r="N15" i="12"/>
  <c r="J15" i="12"/>
  <c r="K15" i="12" s="1"/>
  <c r="H15" i="12"/>
  <c r="F15" i="12"/>
  <c r="B15" i="12"/>
  <c r="A15" i="12"/>
  <c r="E15" i="12" s="1"/>
  <c r="R14" i="12"/>
  <c r="P14" i="12"/>
  <c r="N14" i="12"/>
  <c r="L14" i="12"/>
  <c r="M14" i="12" s="1"/>
  <c r="J14" i="12"/>
  <c r="K14" i="12" s="1"/>
  <c r="H14" i="12"/>
  <c r="F14" i="12"/>
  <c r="E14" i="12"/>
  <c r="B14" i="12"/>
  <c r="A14" i="12"/>
  <c r="O14" i="12" s="1"/>
  <c r="R13" i="12"/>
  <c r="P13" i="12"/>
  <c r="O13" i="12"/>
  <c r="N13" i="12"/>
  <c r="L13" i="12"/>
  <c r="M13" i="12" s="1"/>
  <c r="J13" i="12"/>
  <c r="K13" i="12" s="1"/>
  <c r="F13" i="12"/>
  <c r="E13" i="12"/>
  <c r="B13" i="12"/>
  <c r="A13" i="12"/>
  <c r="Q13" i="12" s="1"/>
  <c r="R12" i="12"/>
  <c r="P12" i="12"/>
  <c r="O12" i="12"/>
  <c r="N12" i="12"/>
  <c r="L12" i="12"/>
  <c r="M12" i="12" s="1"/>
  <c r="J12" i="12"/>
  <c r="K12" i="12" s="1"/>
  <c r="H12" i="12"/>
  <c r="F12" i="12"/>
  <c r="B12" i="12"/>
  <c r="A12" i="12"/>
  <c r="C12" i="12" s="1"/>
  <c r="R11" i="12"/>
  <c r="P11" i="12"/>
  <c r="N11" i="12"/>
  <c r="L11" i="12"/>
  <c r="M11" i="12" s="1"/>
  <c r="J11" i="12"/>
  <c r="K11" i="12" s="1"/>
  <c r="H11" i="12"/>
  <c r="F11" i="12"/>
  <c r="B11" i="12"/>
  <c r="A11" i="12"/>
  <c r="E11" i="12" s="1"/>
  <c r="R10" i="12"/>
  <c r="P10" i="12"/>
  <c r="N10" i="12"/>
  <c r="L10" i="12"/>
  <c r="M10" i="12" s="1"/>
  <c r="J10" i="12"/>
  <c r="K10" i="12" s="1"/>
  <c r="H10" i="12"/>
  <c r="F10" i="12"/>
  <c r="E10" i="12"/>
  <c r="D10" i="12"/>
  <c r="B10" i="12"/>
  <c r="A10" i="12"/>
  <c r="O10" i="12" s="1"/>
  <c r="R9" i="12"/>
  <c r="P9" i="12"/>
  <c r="O9" i="12"/>
  <c r="N9" i="12"/>
  <c r="L9" i="12"/>
  <c r="M9" i="12" s="1"/>
  <c r="J9" i="12"/>
  <c r="K9" i="12" s="1"/>
  <c r="H9" i="12"/>
  <c r="F9" i="12"/>
  <c r="E9" i="12"/>
  <c r="B9" i="12"/>
  <c r="A9" i="12"/>
  <c r="Q9" i="12" s="1"/>
  <c r="R8" i="12"/>
  <c r="P8" i="12"/>
  <c r="O8" i="12"/>
  <c r="N8" i="12"/>
  <c r="L8" i="12"/>
  <c r="M8" i="12" s="1"/>
  <c r="J8" i="12"/>
  <c r="K8" i="12" s="1"/>
  <c r="H8" i="12"/>
  <c r="F8" i="12"/>
  <c r="D8" i="12"/>
  <c r="B8" i="12"/>
  <c r="A8" i="12"/>
  <c r="C8" i="12" s="1"/>
  <c r="R7" i="12"/>
  <c r="P7" i="12"/>
  <c r="N7" i="12"/>
  <c r="L7" i="12"/>
  <c r="M7" i="12" s="1"/>
  <c r="J7" i="12"/>
  <c r="K7" i="12" s="1"/>
  <c r="H7" i="12"/>
  <c r="F7" i="12"/>
  <c r="B7" i="12"/>
  <c r="A7" i="12"/>
  <c r="E7" i="12" s="1"/>
  <c r="R6" i="12"/>
  <c r="P6" i="12"/>
  <c r="N6" i="12"/>
  <c r="L6" i="12"/>
  <c r="M6" i="12" s="1"/>
  <c r="J6" i="12"/>
  <c r="K6" i="12" s="1"/>
  <c r="H6" i="12"/>
  <c r="F6" i="12"/>
  <c r="E6" i="12"/>
  <c r="D6" i="12"/>
  <c r="B6" i="12"/>
  <c r="A6" i="12"/>
  <c r="O6" i="12" s="1"/>
  <c r="R5" i="12"/>
  <c r="P5" i="12"/>
  <c r="O5" i="12"/>
  <c r="N5" i="12"/>
  <c r="L5" i="12"/>
  <c r="M5" i="12" s="1"/>
  <c r="J5" i="12"/>
  <c r="K5" i="12" s="1"/>
  <c r="H5" i="12"/>
  <c r="F5" i="12"/>
  <c r="E5" i="12"/>
  <c r="B5" i="12"/>
  <c r="A5" i="12"/>
  <c r="Q5" i="12" s="1"/>
  <c r="R4" i="12"/>
  <c r="P4" i="12"/>
  <c r="O4" i="12"/>
  <c r="N4" i="12"/>
  <c r="L4" i="12"/>
  <c r="M4" i="12" s="1"/>
  <c r="J4" i="12"/>
  <c r="K4" i="12" s="1"/>
  <c r="H4" i="12"/>
  <c r="F4" i="12"/>
  <c r="D4" i="12"/>
  <c r="B4" i="12"/>
  <c r="A4" i="12"/>
  <c r="C4" i="12" s="1"/>
  <c r="R3" i="12"/>
  <c r="P3" i="12"/>
  <c r="N3" i="12"/>
  <c r="L3" i="12"/>
  <c r="M3" i="12" s="1"/>
  <c r="J3" i="12"/>
  <c r="K3" i="12" s="1"/>
  <c r="H3" i="12"/>
  <c r="F3" i="12"/>
  <c r="B3" i="12"/>
  <c r="A3" i="12"/>
  <c r="E3" i="12" s="1"/>
  <c r="R2" i="12"/>
  <c r="P2" i="12"/>
  <c r="N2" i="12"/>
  <c r="L2" i="12"/>
  <c r="M2" i="12" s="1"/>
  <c r="J2" i="12"/>
  <c r="K2" i="12" s="1"/>
  <c r="H2" i="12"/>
  <c r="F2" i="12"/>
  <c r="E2" i="12"/>
  <c r="D2" i="12"/>
  <c r="B2" i="12"/>
  <c r="A2" i="12"/>
  <c r="O2" i="12" s="1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R21" i="1"/>
  <c r="Q21" i="1"/>
  <c r="O21" i="1"/>
  <c r="G21" i="12" s="1"/>
  <c r="L21" i="1"/>
  <c r="F21" i="1"/>
  <c r="D21" i="12" s="1"/>
  <c r="D21" i="1"/>
  <c r="C21" i="12" s="1"/>
  <c r="R20" i="1"/>
  <c r="Q20" i="1"/>
  <c r="O20" i="1"/>
  <c r="G20" i="12" s="1"/>
  <c r="L20" i="1"/>
  <c r="F20" i="1"/>
  <c r="D20" i="12" s="1"/>
  <c r="D20" i="1"/>
  <c r="R19" i="1"/>
  <c r="Q19" i="1"/>
  <c r="O19" i="1"/>
  <c r="L19" i="1"/>
  <c r="F19" i="1"/>
  <c r="D19" i="1"/>
  <c r="R18" i="1"/>
  <c r="Q18" i="1"/>
  <c r="O18" i="1"/>
  <c r="L18" i="1"/>
  <c r="F18" i="1"/>
  <c r="D18" i="12" s="1"/>
  <c r="D18" i="1"/>
  <c r="C18" i="12" s="1"/>
  <c r="R17" i="1"/>
  <c r="Q17" i="1"/>
  <c r="H17" i="12" s="1"/>
  <c r="O17" i="1"/>
  <c r="G17" i="12" s="1"/>
  <c r="L17" i="1"/>
  <c r="F17" i="1"/>
  <c r="D17" i="12" s="1"/>
  <c r="D17" i="1"/>
  <c r="C17" i="12" s="1"/>
  <c r="R16" i="1"/>
  <c r="Q16" i="1"/>
  <c r="O16" i="1"/>
  <c r="G16" i="12" s="1"/>
  <c r="L16" i="1"/>
  <c r="F16" i="1"/>
  <c r="D16" i="12" s="1"/>
  <c r="D16" i="1"/>
  <c r="R15" i="1"/>
  <c r="Q15" i="1"/>
  <c r="O15" i="1"/>
  <c r="L15" i="1"/>
  <c r="F15" i="1"/>
  <c r="D15" i="1"/>
  <c r="R14" i="1"/>
  <c r="Q14" i="1"/>
  <c r="O14" i="1"/>
  <c r="L14" i="1"/>
  <c r="F14" i="1"/>
  <c r="D14" i="12" s="1"/>
  <c r="D14" i="1"/>
  <c r="C14" i="12" s="1"/>
  <c r="R13" i="1"/>
  <c r="Q13" i="1"/>
  <c r="H13" i="12" s="1"/>
  <c r="O13" i="1"/>
  <c r="G13" i="12" s="1"/>
  <c r="L13" i="1"/>
  <c r="F13" i="1"/>
  <c r="D13" i="12" s="1"/>
  <c r="D13" i="1"/>
  <c r="C13" i="12" s="1"/>
  <c r="R12" i="1"/>
  <c r="Q12" i="1"/>
  <c r="O12" i="1"/>
  <c r="G12" i="12" s="1"/>
  <c r="L12" i="1"/>
  <c r="F12" i="1"/>
  <c r="D12" i="12" s="1"/>
  <c r="D12" i="1"/>
  <c r="R11" i="1"/>
  <c r="Q11" i="1"/>
  <c r="O11" i="1"/>
  <c r="L11" i="1"/>
  <c r="F11" i="1"/>
  <c r="D11" i="12" s="1"/>
  <c r="D11" i="1"/>
  <c r="R10" i="1"/>
  <c r="Q10" i="1"/>
  <c r="O10" i="1"/>
  <c r="L10" i="1"/>
  <c r="F10" i="1"/>
  <c r="D10" i="1"/>
  <c r="C10" i="12" s="1"/>
  <c r="R9" i="1"/>
  <c r="Q9" i="1"/>
  <c r="O9" i="1"/>
  <c r="G9" i="12" s="1"/>
  <c r="L9" i="1"/>
  <c r="F9" i="1"/>
  <c r="D9" i="12" s="1"/>
  <c r="D9" i="1"/>
  <c r="C9" i="12" s="1"/>
  <c r="R8" i="1"/>
  <c r="Q8" i="1"/>
  <c r="O8" i="1"/>
  <c r="G8" i="12" s="1"/>
  <c r="L8" i="1"/>
  <c r="F8" i="1"/>
  <c r="D8" i="1"/>
  <c r="R7" i="1"/>
  <c r="Q7" i="1"/>
  <c r="O7" i="1"/>
  <c r="L7" i="1"/>
  <c r="F7" i="1"/>
  <c r="D7" i="12" s="1"/>
  <c r="D7" i="1"/>
  <c r="R6" i="1"/>
  <c r="Q6" i="1"/>
  <c r="O6" i="1"/>
  <c r="L6" i="1"/>
  <c r="F6" i="1"/>
  <c r="D6" i="1"/>
  <c r="C6" i="12" s="1"/>
  <c r="R5" i="1"/>
  <c r="Q5" i="1"/>
  <c r="O5" i="1"/>
  <c r="G5" i="12" s="1"/>
  <c r="L5" i="1"/>
  <c r="F5" i="1"/>
  <c r="D5" i="12" s="1"/>
  <c r="D5" i="1"/>
  <c r="C5" i="12" s="1"/>
  <c r="R4" i="1"/>
  <c r="Q4" i="1"/>
  <c r="O4" i="1"/>
  <c r="G4" i="12" s="1"/>
  <c r="L4" i="1"/>
  <c r="F4" i="1"/>
  <c r="D4" i="1"/>
  <c r="R3" i="1"/>
  <c r="Q3" i="1"/>
  <c r="O3" i="1"/>
  <c r="L3" i="1"/>
  <c r="F3" i="1"/>
  <c r="D3" i="12" s="1"/>
  <c r="D3" i="1"/>
  <c r="R2" i="1"/>
  <c r="Q2" i="1"/>
  <c r="O2" i="1"/>
  <c r="L2" i="1"/>
  <c r="F2" i="1"/>
  <c r="D2" i="1"/>
  <c r="C2" i="12" s="1"/>
  <c r="I2" i="12" l="1"/>
  <c r="Q2" i="12"/>
  <c r="G3" i="12"/>
  <c r="O3" i="12"/>
  <c r="E4" i="12"/>
  <c r="I6" i="12"/>
  <c r="Q6" i="12"/>
  <c r="G7" i="12"/>
  <c r="O7" i="12"/>
  <c r="E8" i="12"/>
  <c r="I10" i="12"/>
  <c r="Q10" i="12"/>
  <c r="G11" i="12"/>
  <c r="O11" i="12"/>
  <c r="E12" i="12"/>
  <c r="I14" i="12"/>
  <c r="Q14" i="12"/>
  <c r="G15" i="12"/>
  <c r="O15" i="12"/>
  <c r="E16" i="12"/>
  <c r="I18" i="12"/>
  <c r="Q18" i="12"/>
  <c r="G19" i="12"/>
  <c r="O19" i="12"/>
  <c r="E20" i="12"/>
  <c r="I3" i="12"/>
  <c r="Q3" i="12"/>
  <c r="I7" i="12"/>
  <c r="Q7" i="12"/>
  <c r="I11" i="12"/>
  <c r="Q11" i="12"/>
  <c r="I15" i="12"/>
  <c r="Q15" i="12"/>
  <c r="I19" i="12"/>
  <c r="Q19" i="12"/>
  <c r="C3" i="12"/>
  <c r="I4" i="12"/>
  <c r="Q4" i="12"/>
  <c r="C7" i="12"/>
  <c r="I8" i="12"/>
  <c r="Q8" i="12"/>
  <c r="C11" i="12"/>
  <c r="I12" i="12"/>
  <c r="Q12" i="12"/>
  <c r="C15" i="12"/>
  <c r="I16" i="12"/>
  <c r="Q16" i="12"/>
  <c r="E18" i="12"/>
  <c r="C19" i="12"/>
  <c r="I20" i="12"/>
  <c r="Q20" i="12"/>
  <c r="O21" i="12"/>
  <c r="D15" i="12"/>
  <c r="L15" i="12"/>
  <c r="M15" i="12" s="1"/>
  <c r="B16" i="12"/>
  <c r="J16" i="12"/>
  <c r="K16" i="12" s="1"/>
  <c r="R16" i="12"/>
  <c r="F18" i="12"/>
  <c r="N18" i="12"/>
  <c r="D19" i="12"/>
  <c r="L19" i="12"/>
  <c r="M19" i="12" s="1"/>
  <c r="B20" i="12"/>
  <c r="J20" i="12"/>
  <c r="K20" i="12" s="1"/>
  <c r="R20" i="12"/>
  <c r="H21" i="12"/>
  <c r="P21" i="12"/>
  <c r="G2" i="12"/>
  <c r="I5" i="12"/>
  <c r="G6" i="12"/>
  <c r="I9" i="12"/>
  <c r="G10" i="12"/>
  <c r="I13" i="12"/>
  <c r="G14" i="12"/>
  <c r="I17" i="12"/>
  <c r="G18" i="12"/>
  <c r="I21" i="12"/>
  <c r="Q21" i="12"/>
</calcChain>
</file>

<file path=xl/sharedStrings.xml><?xml version="1.0" encoding="utf-8"?>
<sst xmlns="http://schemas.openxmlformats.org/spreadsheetml/2006/main" count="1361" uniqueCount="598">
  <si>
    <t>管理番号</t>
  </si>
  <si>
    <t>機器名</t>
  </si>
  <si>
    <t>機器区分ID</t>
  </si>
  <si>
    <t>機器区分名</t>
  </si>
  <si>
    <t>メーカーID</t>
  </si>
  <si>
    <t>メーカー名</t>
  </si>
  <si>
    <t>クラス分類</t>
  </si>
  <si>
    <t>型番</t>
  </si>
  <si>
    <t>製造番号</t>
  </si>
  <si>
    <t>資産番号</t>
  </si>
  <si>
    <t>使用開始日</t>
  </si>
  <si>
    <t>経過年月</t>
  </si>
  <si>
    <t>保守契約有無</t>
  </si>
  <si>
    <t>部署ID</t>
  </si>
  <si>
    <t>部署名</t>
  </si>
  <si>
    <t>保管場所ID</t>
  </si>
  <si>
    <t>保管場所名</t>
  </si>
  <si>
    <t>拠点</t>
  </si>
  <si>
    <t>ステータス</t>
  </si>
  <si>
    <t>ファイルBOXID</t>
  </si>
  <si>
    <t>備考</t>
  </si>
  <si>
    <t>A1403</t>
  </si>
  <si>
    <t>スーパーテクトロン HX606</t>
  </si>
  <si>
    <t>CAT015</t>
  </si>
  <si>
    <t>MKR014</t>
  </si>
  <si>
    <t>Ⅱ</t>
  </si>
  <si>
    <t>HX606</t>
  </si>
  <si>
    <t>420854N</t>
  </si>
  <si>
    <t>S-010235</t>
  </si>
  <si>
    <t>無</t>
  </si>
  <si>
    <t>DEP001</t>
  </si>
  <si>
    <t>LOC004</t>
  </si>
  <si>
    <t>稼働中</t>
  </si>
  <si>
    <t>BOX0001</t>
  </si>
  <si>
    <t>取説あり</t>
  </si>
  <si>
    <t>A1409</t>
  </si>
  <si>
    <t>診察台 EX-SD2S</t>
  </si>
  <si>
    <t>CAT001</t>
  </si>
  <si>
    <t>MKR002</t>
  </si>
  <si>
    <t>Ⅰ</t>
  </si>
  <si>
    <t>EX-SD2S</t>
  </si>
  <si>
    <t>BA13D0204</t>
  </si>
  <si>
    <t>S-010240</t>
  </si>
  <si>
    <t>BOX0002</t>
  </si>
  <si>
    <t>A1704</t>
  </si>
  <si>
    <t>電子血圧計 CH-453F</t>
  </si>
  <si>
    <t>CAT003</t>
  </si>
  <si>
    <t>MKR017</t>
  </si>
  <si>
    <t>CH-453F</t>
  </si>
  <si>
    <t>22991</t>
  </si>
  <si>
    <t>故障中</t>
  </si>
  <si>
    <t>BOX0003</t>
  </si>
  <si>
    <t>A1706</t>
  </si>
  <si>
    <t>握力計 GRIP D</t>
  </si>
  <si>
    <t>CAT008</t>
  </si>
  <si>
    <t>MKR011</t>
  </si>
  <si>
    <t>GRIP-D</t>
  </si>
  <si>
    <t>73180072</t>
  </si>
  <si>
    <t>S-013302</t>
  </si>
  <si>
    <t>BOX0004</t>
  </si>
  <si>
    <t>A1708</t>
  </si>
  <si>
    <t>電子体温計 MC-674</t>
  </si>
  <si>
    <t>CAT010</t>
  </si>
  <si>
    <t>MKR009</t>
  </si>
  <si>
    <t>MC-674</t>
  </si>
  <si>
    <t>221AGBZX00103000</t>
  </si>
  <si>
    <t>BOX0005</t>
  </si>
  <si>
    <t>A1725</t>
  </si>
  <si>
    <t>CORDLESS BIKE V77i</t>
  </si>
  <si>
    <t>CAT012</t>
  </si>
  <si>
    <t>MKR015</t>
  </si>
  <si>
    <t>V77i</t>
  </si>
  <si>
    <t>BG862M30-302011051</t>
  </si>
  <si>
    <t>S-013350</t>
  </si>
  <si>
    <t>BOX0006</t>
  </si>
  <si>
    <t>A1786</t>
  </si>
  <si>
    <t>RADspeed Pro</t>
  </si>
  <si>
    <t>CAT011</t>
  </si>
  <si>
    <t>MKR016</t>
  </si>
  <si>
    <t>RADspeed-Pro</t>
  </si>
  <si>
    <t>41E215A73005</t>
  </si>
  <si>
    <t>S-017062</t>
  </si>
  <si>
    <t>有</t>
  </si>
  <si>
    <t>DEP003</t>
  </si>
  <si>
    <t>LOC012</t>
  </si>
  <si>
    <t>BOX0007</t>
  </si>
  <si>
    <t>フルメンテ保守</t>
  </si>
  <si>
    <t>A2034</t>
  </si>
  <si>
    <t>ベッドサイドモニタ PVM-2701</t>
  </si>
  <si>
    <t>CAT019</t>
  </si>
  <si>
    <t>MKR006</t>
  </si>
  <si>
    <t>Ⅲ</t>
  </si>
  <si>
    <t>PVM-2701</t>
  </si>
  <si>
    <t>22300BZX00461000</t>
  </si>
  <si>
    <t>S-018090</t>
  </si>
  <si>
    <t>DEP002</t>
  </si>
  <si>
    <t>LOC015</t>
  </si>
  <si>
    <t>BOX0008</t>
  </si>
  <si>
    <t>A2269</t>
  </si>
  <si>
    <t>フィンガーチップパルスオキシメーター C25</t>
  </si>
  <si>
    <t>CAT002</t>
  </si>
  <si>
    <t>MKR018</t>
  </si>
  <si>
    <t>C25</t>
  </si>
  <si>
    <t>1823449-00428</t>
  </si>
  <si>
    <t>BOX0009</t>
  </si>
  <si>
    <t>A2320</t>
  </si>
  <si>
    <t>メディセーフフィットスマイル</t>
  </si>
  <si>
    <t>CAT016</t>
  </si>
  <si>
    <t>MKR001</t>
  </si>
  <si>
    <t>MS-FR201B</t>
  </si>
  <si>
    <t>190551</t>
  </si>
  <si>
    <t>LOC020</t>
  </si>
  <si>
    <t>BOX0010</t>
  </si>
  <si>
    <t>A2333</t>
  </si>
  <si>
    <t>ステレッチングex</t>
  </si>
  <si>
    <t>CAT018</t>
  </si>
  <si>
    <t>MKR019</t>
  </si>
  <si>
    <t>2107</t>
  </si>
  <si>
    <t>S-010318</t>
  </si>
  <si>
    <t>LOC003</t>
  </si>
  <si>
    <t>BOX0011</t>
  </si>
  <si>
    <t>2026/3に西船へ移設</t>
  </si>
  <si>
    <t>A2487</t>
  </si>
  <si>
    <t>体重計</t>
  </si>
  <si>
    <t>CAT005</t>
  </si>
  <si>
    <t>MKR008</t>
  </si>
  <si>
    <t>HD-660</t>
  </si>
  <si>
    <t>800929</t>
  </si>
  <si>
    <t>BOX0012</t>
  </si>
  <si>
    <t>A2559</t>
  </si>
  <si>
    <t>カルジオライフ AED-3100</t>
  </si>
  <si>
    <t>CAT007</t>
  </si>
  <si>
    <t>AED-3100</t>
  </si>
  <si>
    <t>206995</t>
  </si>
  <si>
    <t>S-021880</t>
  </si>
  <si>
    <t>DEP005</t>
  </si>
  <si>
    <t>LOC005</t>
  </si>
  <si>
    <t>BOX0013</t>
  </si>
  <si>
    <t>パッド期限 2027/03</t>
  </si>
  <si>
    <t>A2642</t>
  </si>
  <si>
    <t>KEZ01</t>
  </si>
  <si>
    <t>CAT020</t>
  </si>
  <si>
    <t>MKR020</t>
  </si>
  <si>
    <t>6M45HV2</t>
  </si>
  <si>
    <t>S-017051</t>
  </si>
  <si>
    <t>LOC019</t>
  </si>
  <si>
    <t>廃棄</t>
  </si>
  <si>
    <t>BOX0014</t>
  </si>
  <si>
    <t>2026/6 更新により廃棄</t>
  </si>
  <si>
    <t>A2771</t>
  </si>
  <si>
    <t>壁掛式流量計</t>
  </si>
  <si>
    <t>CAT009</t>
  </si>
  <si>
    <t>MKR007</t>
  </si>
  <si>
    <t>KF-200</t>
  </si>
  <si>
    <t>KM19-0771</t>
  </si>
  <si>
    <t>S-019061</t>
  </si>
  <si>
    <t>LOC006</t>
  </si>
  <si>
    <t>BOX0015</t>
  </si>
  <si>
    <t>A2956</t>
  </si>
  <si>
    <t>AeroDR</t>
  </si>
  <si>
    <t>CAT004</t>
  </si>
  <si>
    <t>MKR004</t>
  </si>
  <si>
    <t>A33G-61362</t>
  </si>
  <si>
    <t>S-023101</t>
  </si>
  <si>
    <t>LOC017</t>
  </si>
  <si>
    <t>BOX0016</t>
  </si>
  <si>
    <t>A2980</t>
  </si>
  <si>
    <t>フィジオアクティブ HV PHV-1</t>
  </si>
  <si>
    <t>CAT013</t>
  </si>
  <si>
    <t>MKR005</t>
  </si>
  <si>
    <t>PHV-1</t>
  </si>
  <si>
    <t>78005167N</t>
  </si>
  <si>
    <t>S-024013</t>
  </si>
  <si>
    <t>BOX0017</t>
  </si>
  <si>
    <t>A3292</t>
  </si>
  <si>
    <t>カーディサニー C330</t>
  </si>
  <si>
    <t>CAT014</t>
  </si>
  <si>
    <t>MKR012</t>
  </si>
  <si>
    <t>C330</t>
  </si>
  <si>
    <t>40800113</t>
  </si>
  <si>
    <t>S-010050</t>
  </si>
  <si>
    <t>DEP004</t>
  </si>
  <si>
    <t>LOC018</t>
  </si>
  <si>
    <t>BOX0018</t>
  </si>
  <si>
    <t>A3293</t>
  </si>
  <si>
    <t>HemioMX SSA-590A</t>
  </si>
  <si>
    <t>CAT006</t>
  </si>
  <si>
    <t>MKR010</t>
  </si>
  <si>
    <t>SSA-590A</t>
  </si>
  <si>
    <t>99A1344613</t>
  </si>
  <si>
    <t>S-013070</t>
  </si>
  <si>
    <t>BOX0019</t>
  </si>
  <si>
    <t>A3294</t>
  </si>
  <si>
    <t>リニア PLM-703AT</t>
  </si>
  <si>
    <t>CAT017</t>
  </si>
  <si>
    <t>PLM-703AT</t>
  </si>
  <si>
    <t>TDA1336595</t>
  </si>
  <si>
    <t>BOX0020</t>
  </si>
  <si>
    <t>A3293の付属プローブ</t>
  </si>
  <si>
    <t>特定保守管理医療機器</t>
  </si>
  <si>
    <t>点検表ID</t>
  </si>
  <si>
    <t>点検表名</t>
  </si>
  <si>
    <t>部署点検周期(月)</t>
  </si>
  <si>
    <t>業者点検周期(月)</t>
  </si>
  <si>
    <t>表示順</t>
  </si>
  <si>
    <t>有効</t>
  </si>
  <si>
    <t>診察台（電動式）</t>
  </si>
  <si>
    <t>CHK001</t>
  </si>
  <si>
    <t>〇</t>
  </si>
  <si>
    <t>パルスオキシメーター</t>
  </si>
  <si>
    <t>CHK002</t>
  </si>
  <si>
    <t>電子血圧計</t>
  </si>
  <si>
    <t>CHK003</t>
  </si>
  <si>
    <t>FPD</t>
  </si>
  <si>
    <t>CHK004</t>
  </si>
  <si>
    <t>CHK005</t>
  </si>
  <si>
    <t>超音波診断装置</t>
  </si>
  <si>
    <t>CHK006</t>
  </si>
  <si>
    <t>AED</t>
  </si>
  <si>
    <t>CHK007</t>
  </si>
  <si>
    <t>電子握力計</t>
  </si>
  <si>
    <t>CHK008</t>
  </si>
  <si>
    <t>CHK009</t>
  </si>
  <si>
    <t>電子体温計</t>
  </si>
  <si>
    <t>CHK010</t>
  </si>
  <si>
    <t>X線発生装置</t>
  </si>
  <si>
    <t>CHK011</t>
  </si>
  <si>
    <t>エルゴメーター</t>
  </si>
  <si>
    <t>CHK012</t>
  </si>
  <si>
    <t>低周波治療器</t>
  </si>
  <si>
    <t>CHK013</t>
  </si>
  <si>
    <t>多機能心電計</t>
  </si>
  <si>
    <t>CHK014</t>
  </si>
  <si>
    <t>高周波</t>
  </si>
  <si>
    <t>CHK015</t>
  </si>
  <si>
    <t>血糖測定器</t>
  </si>
  <si>
    <t>CHK016</t>
  </si>
  <si>
    <t>超音波プローブ</t>
  </si>
  <si>
    <t>CHK017</t>
  </si>
  <si>
    <t>斜面台</t>
  </si>
  <si>
    <t>CHK018</t>
  </si>
  <si>
    <t>生体情報モニタ（ﾍﾞｯﾄﾞｻｲﾄﾞﾓﾆﾀ）</t>
  </si>
  <si>
    <t>CHK019</t>
  </si>
  <si>
    <t>検像端末</t>
  </si>
  <si>
    <t>CHK020</t>
  </si>
  <si>
    <t>担当者１</t>
  </si>
  <si>
    <t>担当者２</t>
  </si>
  <si>
    <t>理学診療部</t>
  </si>
  <si>
    <t>佐藤 健一</t>
  </si>
  <si>
    <t>伊藤 亮</t>
  </si>
  <si>
    <t>外来看護部</t>
  </si>
  <si>
    <t>鈴木 美和</t>
  </si>
  <si>
    <t>画像検査部</t>
  </si>
  <si>
    <t>高橋 直樹</t>
  </si>
  <si>
    <t>臨床検査部</t>
  </si>
  <si>
    <t>田中 彩</t>
  </si>
  <si>
    <t>1F病棟</t>
  </si>
  <si>
    <t>渡辺 久美</t>
  </si>
  <si>
    <t>松本 拓海</t>
  </si>
  <si>
    <t>DEP006</t>
  </si>
  <si>
    <t>3F回復期病棟</t>
  </si>
  <si>
    <t>山口 千尋</t>
  </si>
  <si>
    <t>DEP007</t>
  </si>
  <si>
    <t>総務部</t>
  </si>
  <si>
    <t>中村 大輔</t>
  </si>
  <si>
    <t>DEP008</t>
  </si>
  <si>
    <t>内科</t>
  </si>
  <si>
    <t>小林 真一</t>
  </si>
  <si>
    <t>DEP009</t>
  </si>
  <si>
    <t>薬剤部</t>
  </si>
  <si>
    <t>加藤 綾子</t>
  </si>
  <si>
    <t>DEP010</t>
  </si>
  <si>
    <t>管理部</t>
  </si>
  <si>
    <t>吉田 聡</t>
  </si>
  <si>
    <t>DEP011</t>
  </si>
  <si>
    <t>医療機器安全委員会</t>
  </si>
  <si>
    <t>LOC001</t>
  </si>
  <si>
    <t>2F リハビリ室</t>
  </si>
  <si>
    <t>船橋整形外科クリニック</t>
  </si>
  <si>
    <t>LOC002</t>
  </si>
  <si>
    <t>病棟リハビリ</t>
  </si>
  <si>
    <t>船橋整形外科病院</t>
  </si>
  <si>
    <t>リハビリ室</t>
  </si>
  <si>
    <t>西船クリニック</t>
  </si>
  <si>
    <t>市川クリニック</t>
  </si>
  <si>
    <t>ﾅｰｽｽﾃｰｼｮﾝ</t>
  </si>
  <si>
    <t>処置室</t>
  </si>
  <si>
    <t>LOC007</t>
  </si>
  <si>
    <t>LOC008</t>
  </si>
  <si>
    <t>回復期病棟</t>
  </si>
  <si>
    <t>LOC009</t>
  </si>
  <si>
    <t>LOC010</t>
  </si>
  <si>
    <t>第15診察室</t>
  </si>
  <si>
    <t>LOC011</t>
  </si>
  <si>
    <t>手術室</t>
  </si>
  <si>
    <t>第1撮影室</t>
  </si>
  <si>
    <t>LOC013</t>
  </si>
  <si>
    <t>LOC014</t>
  </si>
  <si>
    <t>第3撮影室</t>
  </si>
  <si>
    <t>検査室</t>
  </si>
  <si>
    <t>LOC016</t>
  </si>
  <si>
    <t>第2撮影室</t>
  </si>
  <si>
    <t>1B 生理検査室</t>
  </si>
  <si>
    <t>MRI操作室</t>
  </si>
  <si>
    <t>電話番号</t>
  </si>
  <si>
    <t>担当者</t>
  </si>
  <si>
    <t>メールアドレス</t>
  </si>
  <si>
    <t>ホームページ</t>
  </si>
  <si>
    <t>テルモ</t>
  </si>
  <si>
    <t>03-1234-5601</t>
  </si>
  <si>
    <t>山田（営業）</t>
  </si>
  <si>
    <t>sales01@example.co.jp</t>
  </si>
  <si>
    <t>https://example01.co.jp</t>
  </si>
  <si>
    <t>タカラベルモント</t>
  </si>
  <si>
    <t>03-1234-5602</t>
  </si>
  <si>
    <t>加藤（営業）</t>
  </si>
  <si>
    <t>sales02@example.co.jp</t>
  </si>
  <si>
    <t>https://example02.co.jp</t>
  </si>
  <si>
    <t>MKR003</t>
  </si>
  <si>
    <t>ベルモント</t>
  </si>
  <si>
    <t>03-1234-5603</t>
  </si>
  <si>
    <t>sales03@example.co.jp</t>
  </si>
  <si>
    <t>https://example03.co.jp</t>
  </si>
  <si>
    <t>コニカミノルタ</t>
  </si>
  <si>
    <t>03-1234-5604</t>
  </si>
  <si>
    <t>中村（CE）</t>
  </si>
  <si>
    <t>sales04@example.co.jp</t>
  </si>
  <si>
    <t>https://example04.co.jp</t>
  </si>
  <si>
    <t>酒井医療</t>
  </si>
  <si>
    <t>03-1234-5605</t>
  </si>
  <si>
    <t>斉藤（CE）</t>
  </si>
  <si>
    <t>sales05@example.co.jp</t>
  </si>
  <si>
    <t>https://example05.co.jp</t>
  </si>
  <si>
    <t>日本光電</t>
  </si>
  <si>
    <t>03-1234-5606</t>
  </si>
  <si>
    <t>小林（営業）</t>
  </si>
  <si>
    <t>sales06@example.co.jp</t>
  </si>
  <si>
    <t>https://example06.co.jp</t>
  </si>
  <si>
    <t>小池メディカル</t>
  </si>
  <si>
    <t>03-1234-5607</t>
  </si>
  <si>
    <t>sales07@example.co.jp</t>
  </si>
  <si>
    <t>https://example07.co.jp</t>
  </si>
  <si>
    <t>タニタ</t>
  </si>
  <si>
    <t>03-1234-5608</t>
  </si>
  <si>
    <t>森（営業）</t>
  </si>
  <si>
    <t>sales08@example.co.jp</t>
  </si>
  <si>
    <t>https://example08.co.jp</t>
  </si>
  <si>
    <t>オムロン</t>
  </si>
  <si>
    <t>03-1234-5609</t>
  </si>
  <si>
    <t>sales09@example.co.jp</t>
  </si>
  <si>
    <t>https://example09.co.jp</t>
  </si>
  <si>
    <t>キヤノンメディカル</t>
  </si>
  <si>
    <t>03-1234-5610</t>
  </si>
  <si>
    <t>大野（CE）</t>
  </si>
  <si>
    <t>sales10@example.co.jp</t>
  </si>
  <si>
    <t>https://example10.co.jp</t>
  </si>
  <si>
    <t>竹井機器工業</t>
  </si>
  <si>
    <t>03-1234-5611</t>
  </si>
  <si>
    <t>sales11@example.co.jp</t>
  </si>
  <si>
    <t>https://example11.co.jp</t>
  </si>
  <si>
    <t>フクダ電子</t>
  </si>
  <si>
    <t>03-1234-5612</t>
  </si>
  <si>
    <t>原田（営業）</t>
  </si>
  <si>
    <t>sales12@example.co.jp</t>
  </si>
  <si>
    <t>https://example12.co.jp</t>
  </si>
  <si>
    <t>MKR013</t>
  </si>
  <si>
    <t>富士フイルムメディカル</t>
  </si>
  <si>
    <t>03-1234-5613</t>
  </si>
  <si>
    <t>清水（CE）</t>
  </si>
  <si>
    <t>sales13@example.co.jp</t>
  </si>
  <si>
    <t>https://example13.co.jp</t>
  </si>
  <si>
    <t>テクノリンク</t>
  </si>
  <si>
    <t>03-1234-5614</t>
  </si>
  <si>
    <t>sales14@example.co.jp</t>
  </si>
  <si>
    <t>https://example14.co.jp</t>
  </si>
  <si>
    <t>セノー</t>
  </si>
  <si>
    <t>03-1234-5615</t>
  </si>
  <si>
    <t>sales15@example.co.jp</t>
  </si>
  <si>
    <t>https://example15.co.jp</t>
  </si>
  <si>
    <t>島津製作所</t>
  </si>
  <si>
    <t>03-1234-5616</t>
  </si>
  <si>
    <t>長谷川（CE）</t>
  </si>
  <si>
    <t>sales16@example.co.jp</t>
  </si>
  <si>
    <t>https://example16.co.jp</t>
  </si>
  <si>
    <t>シチズン</t>
  </si>
  <si>
    <t>03-1234-5617</t>
  </si>
  <si>
    <t>sales17@example.co.jp</t>
  </si>
  <si>
    <t>https://example17.co.jp</t>
  </si>
  <si>
    <t>フィンガルリンク</t>
  </si>
  <si>
    <t>03-1234-5618</t>
  </si>
  <si>
    <t>sales18@example.co.jp</t>
  </si>
  <si>
    <t>https://example18.co.jp</t>
  </si>
  <si>
    <t>スカイライト</t>
  </si>
  <si>
    <t>03-1234-5619</t>
  </si>
  <si>
    <t>sales19@example.co.jp</t>
  </si>
  <si>
    <t>https://example19.co.jp</t>
  </si>
  <si>
    <t>富士フィルム医療ソリューションズ</t>
  </si>
  <si>
    <t>03-1234-5620</t>
  </si>
  <si>
    <t>岡田（CE）</t>
  </si>
  <si>
    <t>sales20@example.co.jp</t>
  </si>
  <si>
    <t>https://example20.co.jp</t>
  </si>
  <si>
    <t>点検区分</t>
  </si>
  <si>
    <t>診察台（電動式） 点検表</t>
  </si>
  <si>
    <t>部署点検</t>
  </si>
  <si>
    <t>パルスオキシメーター 点検表</t>
  </si>
  <si>
    <t>電子血圧計 点検表</t>
  </si>
  <si>
    <t>FPD 点検表</t>
  </si>
  <si>
    <t>業者点検</t>
  </si>
  <si>
    <t>メーカー実施</t>
  </si>
  <si>
    <t>体重計 点検表</t>
  </si>
  <si>
    <t>超音波診断装置 点検表</t>
  </si>
  <si>
    <t>AED 点検表</t>
  </si>
  <si>
    <t>電子握力計 点検表</t>
  </si>
  <si>
    <t>壁掛式流量計 点検表</t>
  </si>
  <si>
    <t>電子体温計 点検表</t>
  </si>
  <si>
    <t>X線発生装置 点検表</t>
  </si>
  <si>
    <t>エルゴメーター 点検表</t>
  </si>
  <si>
    <t>低周波治療器 点検表</t>
  </si>
  <si>
    <t>多機能心電計 点検表</t>
  </si>
  <si>
    <t>高周波 点検表</t>
  </si>
  <si>
    <t>血糖測定器 点検表</t>
  </si>
  <si>
    <t>超音波プローブ 点検表</t>
  </si>
  <si>
    <t>斜面台 点検表</t>
  </si>
  <si>
    <t>生体情報モニタ（ﾍﾞｯﾄﾞｻｲﾄﾞﾓﾆﾀ） 点検表</t>
  </si>
  <si>
    <t>検像端末 点検表</t>
  </si>
  <si>
    <t>点検項目ID</t>
  </si>
  <si>
    <t>項目名</t>
  </si>
  <si>
    <t>入力形式</t>
  </si>
  <si>
    <t>必須</t>
  </si>
  <si>
    <t>ITM001</t>
  </si>
  <si>
    <t>外装の破損・汚れがないか</t>
  </si>
  <si>
    <t>○×</t>
  </si>
  <si>
    <t>ITM002</t>
  </si>
  <si>
    <t>電源コード・プラグの損傷がないか</t>
  </si>
  <si>
    <t>ITM003</t>
  </si>
  <si>
    <t>出力レベル（％）</t>
  </si>
  <si>
    <t>数値</t>
  </si>
  <si>
    <t>規定値 10〜15</t>
  </si>
  <si>
    <t>ITM004</t>
  </si>
  <si>
    <t>導子（アプリケータ）の状態</t>
  </si>
  <si>
    <t>ITM005</t>
  </si>
  <si>
    <t>タイマー動作の確認</t>
  </si>
  <si>
    <t>ITM006</t>
  </si>
  <si>
    <t>インジケータが緑点滅しているか</t>
  </si>
  <si>
    <t>ITM007</t>
  </si>
  <si>
    <t>電極パッドの使用期限</t>
  </si>
  <si>
    <t>日付</t>
  </si>
  <si>
    <t>ITM008</t>
  </si>
  <si>
    <t>バッテリ使用期限</t>
  </si>
  <si>
    <t>ITM009</t>
  </si>
  <si>
    <t>本体・ケースの汚れ、破損</t>
  </si>
  <si>
    <t>ITM010</t>
  </si>
  <si>
    <t>付属品（ハサミ・剃刀・手袋）の有無</t>
  </si>
  <si>
    <t>ITM011</t>
  </si>
  <si>
    <t>カフ・チューブの亀裂、空気漏れ</t>
  </si>
  <si>
    <t>ITM012</t>
  </si>
  <si>
    <t>表示部の欠け・にじみ</t>
  </si>
  <si>
    <t>ITM013</t>
  </si>
  <si>
    <t>電池残量</t>
  </si>
  <si>
    <t>ITM014</t>
  </si>
  <si>
    <t>既知値との測定誤差（mmHg）</t>
  </si>
  <si>
    <t>±5以内</t>
  </si>
  <si>
    <t>ITM015</t>
  </si>
  <si>
    <t>昇降動作がスムーズか</t>
  </si>
  <si>
    <t>ITM016</t>
  </si>
  <si>
    <t>フットスイッチ・コードの損傷</t>
  </si>
  <si>
    <t>ITM017</t>
  </si>
  <si>
    <t>レザー表面の破れ・汚れ</t>
  </si>
  <si>
    <t>ITM018</t>
  </si>
  <si>
    <t>パネル表面の傷、割れ</t>
  </si>
  <si>
    <t>ITM019</t>
  </si>
  <si>
    <t>バッテリ残量・充電器の動作</t>
  </si>
  <si>
    <t>ITM020</t>
  </si>
  <si>
    <t>無線通信の接続確認</t>
  </si>
  <si>
    <t>アクションID</t>
  </si>
  <si>
    <t>アクション名</t>
  </si>
  <si>
    <t>ステータス更新</t>
  </si>
  <si>
    <t>点検日更新</t>
  </si>
  <si>
    <t>ACT001</t>
  </si>
  <si>
    <t>導入</t>
  </si>
  <si>
    <t>更新しない</t>
  </si>
  <si>
    <t>機器マスタに新規追加</t>
  </si>
  <si>
    <t>ACT002</t>
  </si>
  <si>
    <t>変更なし</t>
  </si>
  <si>
    <t>最終点検日</t>
  </si>
  <si>
    <t>点検結果を登録</t>
  </si>
  <si>
    <t>ACT003</t>
  </si>
  <si>
    <t>最終業者点検日</t>
  </si>
  <si>
    <t>ACT004</t>
  </si>
  <si>
    <t>校正</t>
  </si>
  <si>
    <t>ACT005</t>
  </si>
  <si>
    <t>故障報告</t>
  </si>
  <si>
    <t>ACT006</t>
  </si>
  <si>
    <t>故障出し</t>
  </si>
  <si>
    <t>修理中</t>
  </si>
  <si>
    <t>院外へ搬出</t>
  </si>
  <si>
    <t>ACT007</t>
  </si>
  <si>
    <t>故障復帰</t>
  </si>
  <si>
    <t>修理完了・返却</t>
  </si>
  <si>
    <t>ACT008</t>
  </si>
  <si>
    <t>移設</t>
  </si>
  <si>
    <t>部署・保管場所を更新</t>
  </si>
  <si>
    <t>ACT009</t>
  </si>
  <si>
    <t>貸出</t>
  </si>
  <si>
    <t>貸出中</t>
  </si>
  <si>
    <t>部署・保管場所は変更しない</t>
  </si>
  <si>
    <t>ACT010</t>
  </si>
  <si>
    <t>返却</t>
  </si>
  <si>
    <t>ACT011</t>
  </si>
  <si>
    <t>廃棄・紛失</t>
  </si>
  <si>
    <t>ステータスは廃棄／紛失で分岐</t>
  </si>
  <si>
    <t>職員番号</t>
  </si>
  <si>
    <t>ユーザー名</t>
  </si>
  <si>
    <t>権限</t>
  </si>
  <si>
    <t>10234</t>
  </si>
  <si>
    <t>一般</t>
  </si>
  <si>
    <t>10567</t>
  </si>
  <si>
    <t>10891</t>
  </si>
  <si>
    <t>管理者</t>
  </si>
  <si>
    <t>医療機器安全委員</t>
  </si>
  <si>
    <t>11002</t>
  </si>
  <si>
    <t>11145</t>
  </si>
  <si>
    <t>医療機器安全管理責任者</t>
  </si>
  <si>
    <t>11210</t>
  </si>
  <si>
    <t>11288</t>
  </si>
  <si>
    <t>11342</t>
  </si>
  <si>
    <t>11407</t>
  </si>
  <si>
    <t>11455</t>
  </si>
  <si>
    <t>11512</t>
  </si>
  <si>
    <t>11580</t>
  </si>
  <si>
    <t>11634</t>
  </si>
  <si>
    <t>清水 由美</t>
  </si>
  <si>
    <t>11702</t>
  </si>
  <si>
    <t>森田 健太</t>
  </si>
  <si>
    <t>11766</t>
  </si>
  <si>
    <t>岡田 里奈</t>
  </si>
  <si>
    <t>11823</t>
  </si>
  <si>
    <t>長谷川 修</t>
  </si>
  <si>
    <t>11890</t>
  </si>
  <si>
    <t>原 奈緒</t>
  </si>
  <si>
    <t>11944</t>
  </si>
  <si>
    <t>斉藤 浩二</t>
  </si>
  <si>
    <t>12011</t>
  </si>
  <si>
    <t>福田 麻衣</t>
  </si>
  <si>
    <t>12078</t>
  </si>
  <si>
    <t>大野 俊介</t>
  </si>
  <si>
    <t>履歴ID</t>
  </si>
  <si>
    <t>職員番号(実施者)</t>
  </si>
  <si>
    <t>登録日時</t>
  </si>
  <si>
    <t>実施日</t>
  </si>
  <si>
    <t>総合判定</t>
  </si>
  <si>
    <t>故障内容／対応内容</t>
  </si>
  <si>
    <t>HIS000001</t>
  </si>
  <si>
    <t>納品・受入時</t>
  </si>
  <si>
    <t>HIS000002</t>
  </si>
  <si>
    <t>OK</t>
  </si>
  <si>
    <t>HIS000003</t>
  </si>
  <si>
    <t>バッテリ残量 正常</t>
  </si>
  <si>
    <t>HIS000004</t>
  </si>
  <si>
    <t>メーカー定期点検</t>
  </si>
  <si>
    <t>HIS000005</t>
  </si>
  <si>
    <t>HIS000006</t>
  </si>
  <si>
    <t>NG</t>
  </si>
  <si>
    <t>カフの加圧が安定しない</t>
  </si>
  <si>
    <t>HIS000007</t>
  </si>
  <si>
    <t>HIS000008</t>
  </si>
  <si>
    <t>HIS000009</t>
  </si>
  <si>
    <t>HIS000010</t>
  </si>
  <si>
    <t>HIS000011</t>
  </si>
  <si>
    <t>HIS000012</t>
  </si>
  <si>
    <t>HIS000013</t>
  </si>
  <si>
    <t>HIS000014</t>
  </si>
  <si>
    <t>本体と同時実施</t>
  </si>
  <si>
    <t>HIS000015</t>
  </si>
  <si>
    <t>HIS000016</t>
  </si>
  <si>
    <t>HIS000017</t>
  </si>
  <si>
    <t>HIS000018</t>
  </si>
  <si>
    <t>HIS000019</t>
  </si>
  <si>
    <t>HIS000020</t>
  </si>
  <si>
    <t>HIS000021</t>
  </si>
  <si>
    <t>HIS000022</t>
  </si>
  <si>
    <t>HIS000023</t>
  </si>
  <si>
    <t>HIS000024</t>
  </si>
  <si>
    <t>市川→西船へ移設</t>
  </si>
  <si>
    <t>HIS000025</t>
  </si>
  <si>
    <t>更新機へ入替のため廃棄</t>
  </si>
  <si>
    <t>入力値</t>
  </si>
  <si>
    <t>○</t>
  </si>
  <si>
    <t>2027/03</t>
  </si>
  <si>
    <t>2028/01</t>
  </si>
  <si>
    <t>機器区分</t>
  </si>
  <si>
    <t>メーカー</t>
  </si>
  <si>
    <t>設置部署</t>
  </si>
  <si>
    <t>保管場所</t>
  </si>
  <si>
    <t>次回点検予定日</t>
  </si>
  <si>
    <t>次回業者点検予定日</t>
  </si>
  <si>
    <t>経過年数</t>
  </si>
  <si>
    <t>ファイルBOX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</si>
</sst>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/mm/dd"/>
    <numFmt numFmtId="179" formatCode="yyyy/mm/dd\ hh:mm"/>
    <numFmt numFmtId="180" formatCode="0&quot;年&quot;"/>
  </numFmts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6F78"/>
      </patternFill>
    </fill>
    <fill>
      <patternFill patternType="solid">
        <fgColor rgb="FF5FA3AA"/>
      </patternFill>
    </fill>
    <fill>
      <patternFill patternType="solid">
        <fgColor rgb="FF3D8B93"/>
      </patternFill>
    </fill>
    <fill>
      <patternFill patternType="solid">
        <fgColor rgb="FF9EC3C6"/>
      </patternFill>
    </fill>
    <fill>
      <patternFill patternType="solid">
        <fgColor rgb="FF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180" fontId="0" fillId="0" borderId="0" xfId="0" applyNumberFormat="1" applyAlignment="1">
      <alignment vertical="center"/>
    </xf>
  </cellXfs>
  <cellStyles count="1">
    <cellStyle name="標準" xfId="0" builtinId="0"/>
  </cellStyles>
  <dxfs count="4">
    <dxf>
      <fill>
        <patternFill patternType="solid">
          <fgColor rgb="FFFFE0B2"/>
        </patternFill>
      </fill>
    </dxf>
    <dxf>
      <fill>
        <patternFill patternType="solid">
          <fgColor rgb="FFE0E0E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.375" customWidth="1"/>
    <col min="2" max="2" width="10.25" customWidth="1"/>
    <col min="3" max="3" width="16.625" customWidth="1"/>
    <col min="4" max="4" width="14.5" customWidth="1"/>
    <col min="5" max="5" width="16.625" customWidth="1"/>
    <col min="6" max="7" width="14.5" customWidth="1"/>
    <col min="8" max="8" width="10" customWidth="1"/>
    <col min="9" max="10" width="12.375" customWidth="1"/>
    <col min="11" max="11" width="14.5" customWidth="1"/>
    <col min="12" max="12" width="12.375" customWidth="1"/>
    <col min="13" max="13" width="16.625" customWidth="1"/>
    <col min="14" max="14" width="12.375" customWidth="1"/>
    <col min="15" max="15" width="10.25" customWidth="1"/>
    <col min="16" max="16" width="16.625" customWidth="1"/>
    <col min="17" max="17" width="14.5" customWidth="1"/>
    <col min="18" max="18" width="10" customWidth="1"/>
    <col min="19" max="19" width="14.5" customWidth="1"/>
    <col min="20" max="20" width="22.875" customWidth="1"/>
    <col min="21" max="21" width="10" customWidth="1"/>
  </cols>
  <sheetData>
    <row r="1" spans="1:21" ht="21.9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2" t="s">
        <v>19</v>
      </c>
      <c r="U1" s="2" t="s">
        <v>20</v>
      </c>
    </row>
    <row r="2" spans="1:21" x14ac:dyDescent="0.15">
      <c r="A2" s="5" t="s">
        <v>21</v>
      </c>
      <c r="B2" s="5" t="s">
        <v>22</v>
      </c>
      <c r="C2" s="5" t="s">
        <v>23</v>
      </c>
      <c r="D2" s="5" t="str">
        <f>IFERROR(VLOOKUP($C2,機器区分マスタ!$A:$B,2,FALSE)&amp;"","")</f>
        <v>高周波</v>
      </c>
      <c r="E2" s="5" t="s">
        <v>24</v>
      </c>
      <c r="F2" s="5" t="str">
        <f>IFERROR(VLOOKUP($E2,メーカーマスタ!$A:$B,2,FALSE)&amp;"","")</f>
        <v>テクノリンク</v>
      </c>
      <c r="G2" s="5" t="s">
        <v>25</v>
      </c>
      <c r="H2" s="5" t="s">
        <v>26</v>
      </c>
      <c r="I2" s="5" t="s">
        <v>27</v>
      </c>
      <c r="J2" s="5" t="s">
        <v>28</v>
      </c>
      <c r="K2" s="6">
        <v>40525</v>
      </c>
      <c r="L2" s="5" t="str">
        <f t="shared" ref="L2:L21" ca="1" si="0">IF($K2="","",DATEDIF($K2,TODAY(),"Y")&amp;"年"&amp;DATEDIF($K2,TODAY(),"YM")&amp;"ヶ月")</f>
        <v>15年9ヶ月</v>
      </c>
      <c r="M2" s="5" t="s">
        <v>29</v>
      </c>
      <c r="N2" s="5" t="s">
        <v>30</v>
      </c>
      <c r="O2" s="5" t="str">
        <f>IFERROR(VLOOKUP($N2,部署マスタ!$A:$B,2,FALSE)&amp;"","")</f>
        <v>理学診療部</v>
      </c>
      <c r="P2" s="5" t="s">
        <v>31</v>
      </c>
      <c r="Q2" s="5" t="str">
        <f>IFERROR(VLOOKUP($P2,保管場所マスタ!$A:$B,2,FALSE)&amp;"","")</f>
        <v>リハビリ室</v>
      </c>
      <c r="R2" s="5" t="str">
        <f>IFERROR(VLOOKUP($P2,保管場所マスタ!$A:$E,5,FALSE)&amp;"","")</f>
        <v>市川クリニック</v>
      </c>
      <c r="S2" s="5" t="s">
        <v>32</v>
      </c>
      <c r="T2" s="5" t="s">
        <v>33</v>
      </c>
      <c r="U2" s="5" t="s">
        <v>34</v>
      </c>
    </row>
    <row r="3" spans="1:21" x14ac:dyDescent="0.15">
      <c r="A3" s="5" t="s">
        <v>35</v>
      </c>
      <c r="B3" s="5" t="s">
        <v>36</v>
      </c>
      <c r="C3" s="5" t="s">
        <v>37</v>
      </c>
      <c r="D3" s="5" t="str">
        <f>IFERROR(VLOOKUP($C3,機器区分マスタ!$A:$B,2,FALSE)&amp;"","")</f>
        <v>診察台（電動式）</v>
      </c>
      <c r="E3" s="5" t="s">
        <v>38</v>
      </c>
      <c r="F3" s="5" t="str">
        <f>IFERROR(VLOOKUP($E3,メーカーマスタ!$A:$B,2,FALSE)&amp;"","")</f>
        <v>タカラベルモント</v>
      </c>
      <c r="G3" s="5" t="s">
        <v>39</v>
      </c>
      <c r="H3" s="5" t="s">
        <v>40</v>
      </c>
      <c r="I3" s="5" t="s">
        <v>41</v>
      </c>
      <c r="J3" s="5" t="s">
        <v>42</v>
      </c>
      <c r="K3" s="6">
        <v>40525</v>
      </c>
      <c r="L3" s="5" t="str">
        <f t="shared" ca="1" si="0"/>
        <v>15年9ヶ月</v>
      </c>
      <c r="M3" s="5" t="s">
        <v>29</v>
      </c>
      <c r="N3" s="5" t="s">
        <v>30</v>
      </c>
      <c r="O3" s="5" t="str">
        <f>IFERROR(VLOOKUP($N3,部署マスタ!$A:$B,2,FALSE)&amp;"","")</f>
        <v>理学診療部</v>
      </c>
      <c r="P3" s="5" t="s">
        <v>31</v>
      </c>
      <c r="Q3" s="5" t="str">
        <f>IFERROR(VLOOKUP($P3,保管場所マスタ!$A:$B,2,FALSE)&amp;"","")</f>
        <v>リハビリ室</v>
      </c>
      <c r="R3" s="5" t="str">
        <f>IFERROR(VLOOKUP($P3,保管場所マスタ!$A:$E,5,FALSE)&amp;"","")</f>
        <v>市川クリニック</v>
      </c>
      <c r="S3" s="5" t="s">
        <v>32</v>
      </c>
      <c r="T3" s="5" t="s">
        <v>43</v>
      </c>
      <c r="U3" s="5" t="s">
        <v>34</v>
      </c>
    </row>
    <row r="4" spans="1:21" x14ac:dyDescent="0.15">
      <c r="A4" s="5" t="s">
        <v>44</v>
      </c>
      <c r="B4" s="5" t="s">
        <v>45</v>
      </c>
      <c r="C4" s="5" t="s">
        <v>46</v>
      </c>
      <c r="D4" s="5" t="str">
        <f>IFERROR(VLOOKUP($C4,機器区分マスタ!$A:$B,2,FALSE)&amp;"","")</f>
        <v>電子血圧計</v>
      </c>
      <c r="E4" s="5" t="s">
        <v>47</v>
      </c>
      <c r="F4" s="5" t="str">
        <f>IFERROR(VLOOKUP($E4,メーカーマスタ!$A:$B,2,FALSE)&amp;"","")</f>
        <v>シチズン</v>
      </c>
      <c r="G4" s="5" t="s">
        <v>25</v>
      </c>
      <c r="H4" s="5" t="s">
        <v>48</v>
      </c>
      <c r="I4" s="5" t="s">
        <v>49</v>
      </c>
      <c r="J4" s="5"/>
      <c r="K4" s="6">
        <v>41609</v>
      </c>
      <c r="L4" s="5" t="str">
        <f t="shared" ca="1" si="0"/>
        <v>12年10ヶ月</v>
      </c>
      <c r="M4" s="5" t="s">
        <v>29</v>
      </c>
      <c r="N4" s="5" t="s">
        <v>30</v>
      </c>
      <c r="O4" s="5" t="str">
        <f>IFERROR(VLOOKUP($N4,部署マスタ!$A:$B,2,FALSE)&amp;"","")</f>
        <v>理学診療部</v>
      </c>
      <c r="P4" s="5" t="s">
        <v>31</v>
      </c>
      <c r="Q4" s="5" t="str">
        <f>IFERROR(VLOOKUP($P4,保管場所マスタ!$A:$B,2,FALSE)&amp;"","")</f>
        <v>リハビリ室</v>
      </c>
      <c r="R4" s="5" t="str">
        <f>IFERROR(VLOOKUP($P4,保管場所マスタ!$A:$E,5,FALSE)&amp;"","")</f>
        <v>市川クリニック</v>
      </c>
      <c r="S4" s="5" t="s">
        <v>50</v>
      </c>
      <c r="T4" s="5" t="s">
        <v>51</v>
      </c>
      <c r="U4" s="5"/>
    </row>
    <row r="5" spans="1:21" x14ac:dyDescent="0.15">
      <c r="A5" s="5" t="s">
        <v>52</v>
      </c>
      <c r="B5" s="5" t="s">
        <v>53</v>
      </c>
      <c r="C5" s="5" t="s">
        <v>54</v>
      </c>
      <c r="D5" s="5" t="str">
        <f>IFERROR(VLOOKUP($C5,機器区分マスタ!$A:$B,2,FALSE)&amp;"","")</f>
        <v>電子握力計</v>
      </c>
      <c r="E5" s="5" t="s">
        <v>55</v>
      </c>
      <c r="F5" s="5" t="str">
        <f>IFERROR(VLOOKUP($E5,メーカーマスタ!$A:$B,2,FALSE)&amp;"","")</f>
        <v>竹井機器工業</v>
      </c>
      <c r="G5" s="5"/>
      <c r="H5" s="5" t="s">
        <v>56</v>
      </c>
      <c r="I5" s="5" t="s">
        <v>57</v>
      </c>
      <c r="J5" s="5" t="s">
        <v>58</v>
      </c>
      <c r="K5" s="6">
        <v>41609</v>
      </c>
      <c r="L5" s="5" t="str">
        <f t="shared" ca="1" si="0"/>
        <v>12年10ヶ月</v>
      </c>
      <c r="M5" s="5" t="s">
        <v>29</v>
      </c>
      <c r="N5" s="5" t="s">
        <v>30</v>
      </c>
      <c r="O5" s="5" t="str">
        <f>IFERROR(VLOOKUP($N5,部署マスタ!$A:$B,2,FALSE)&amp;"","")</f>
        <v>理学診療部</v>
      </c>
      <c r="P5" s="5" t="s">
        <v>31</v>
      </c>
      <c r="Q5" s="5" t="str">
        <f>IFERROR(VLOOKUP($P5,保管場所マスタ!$A:$B,2,FALSE)&amp;"","")</f>
        <v>リハビリ室</v>
      </c>
      <c r="R5" s="5" t="str">
        <f>IFERROR(VLOOKUP($P5,保管場所マスタ!$A:$E,5,FALSE)&amp;"","")</f>
        <v>市川クリニック</v>
      </c>
      <c r="S5" s="5" t="s">
        <v>32</v>
      </c>
      <c r="T5" s="5" t="s">
        <v>59</v>
      </c>
      <c r="U5" s="5"/>
    </row>
    <row r="6" spans="1:21" x14ac:dyDescent="0.15">
      <c r="A6" s="5" t="s">
        <v>60</v>
      </c>
      <c r="B6" s="5" t="s">
        <v>61</v>
      </c>
      <c r="C6" s="5" t="s">
        <v>62</v>
      </c>
      <c r="D6" s="5" t="str">
        <f>IFERROR(VLOOKUP($C6,機器区分マスタ!$A:$B,2,FALSE)&amp;"","")</f>
        <v>電子体温計</v>
      </c>
      <c r="E6" s="5" t="s">
        <v>63</v>
      </c>
      <c r="F6" s="5" t="str">
        <f>IFERROR(VLOOKUP($E6,メーカーマスタ!$A:$B,2,FALSE)&amp;"","")</f>
        <v>オムロン</v>
      </c>
      <c r="G6" s="5" t="s">
        <v>25</v>
      </c>
      <c r="H6" s="5" t="s">
        <v>64</v>
      </c>
      <c r="I6" s="5" t="s">
        <v>65</v>
      </c>
      <c r="J6" s="5"/>
      <c r="K6" s="6">
        <v>41609</v>
      </c>
      <c r="L6" s="5" t="str">
        <f t="shared" ca="1" si="0"/>
        <v>12年10ヶ月</v>
      </c>
      <c r="M6" s="5" t="s">
        <v>29</v>
      </c>
      <c r="N6" s="5" t="s">
        <v>30</v>
      </c>
      <c r="O6" s="5" t="str">
        <f>IFERROR(VLOOKUP($N6,部署マスタ!$A:$B,2,FALSE)&amp;"","")</f>
        <v>理学診療部</v>
      </c>
      <c r="P6" s="5" t="s">
        <v>31</v>
      </c>
      <c r="Q6" s="5" t="str">
        <f>IFERROR(VLOOKUP($P6,保管場所マスタ!$A:$B,2,FALSE)&amp;"","")</f>
        <v>リハビリ室</v>
      </c>
      <c r="R6" s="5" t="str">
        <f>IFERROR(VLOOKUP($P6,保管場所マスタ!$A:$E,5,FALSE)&amp;"","")</f>
        <v>市川クリニック</v>
      </c>
      <c r="S6" s="5" t="s">
        <v>32</v>
      </c>
      <c r="T6" s="5" t="s">
        <v>66</v>
      </c>
      <c r="U6" s="5"/>
    </row>
    <row r="7" spans="1:21" x14ac:dyDescent="0.15">
      <c r="A7" s="5" t="s">
        <v>67</v>
      </c>
      <c r="B7" s="5" t="s">
        <v>68</v>
      </c>
      <c r="C7" s="5" t="s">
        <v>69</v>
      </c>
      <c r="D7" s="5" t="str">
        <f>IFERROR(VLOOKUP($C7,機器区分マスタ!$A:$B,2,FALSE)&amp;"","")</f>
        <v>エルゴメーター</v>
      </c>
      <c r="E7" s="5" t="s">
        <v>70</v>
      </c>
      <c r="F7" s="5" t="str">
        <f>IFERROR(VLOOKUP($E7,メーカーマスタ!$A:$B,2,FALSE)&amp;"","")</f>
        <v>セノー</v>
      </c>
      <c r="G7" s="5"/>
      <c r="H7" s="5" t="s">
        <v>71</v>
      </c>
      <c r="I7" s="5" t="s">
        <v>72</v>
      </c>
      <c r="J7" s="5" t="s">
        <v>73</v>
      </c>
      <c r="K7" s="6">
        <v>41609</v>
      </c>
      <c r="L7" s="5" t="str">
        <f t="shared" ca="1" si="0"/>
        <v>12年10ヶ月</v>
      </c>
      <c r="M7" s="5" t="s">
        <v>29</v>
      </c>
      <c r="N7" s="5" t="s">
        <v>30</v>
      </c>
      <c r="O7" s="5" t="str">
        <f>IFERROR(VLOOKUP($N7,部署マスタ!$A:$B,2,FALSE)&amp;"","")</f>
        <v>理学診療部</v>
      </c>
      <c r="P7" s="5" t="s">
        <v>31</v>
      </c>
      <c r="Q7" s="5" t="str">
        <f>IFERROR(VLOOKUP($P7,保管場所マスタ!$A:$B,2,FALSE)&amp;"","")</f>
        <v>リハビリ室</v>
      </c>
      <c r="R7" s="5" t="str">
        <f>IFERROR(VLOOKUP($P7,保管場所マスタ!$A:$E,5,FALSE)&amp;"","")</f>
        <v>市川クリニック</v>
      </c>
      <c r="S7" s="5" t="s">
        <v>32</v>
      </c>
      <c r="T7" s="5" t="s">
        <v>74</v>
      </c>
      <c r="U7" s="5"/>
    </row>
    <row r="8" spans="1:21" x14ac:dyDescent="0.15">
      <c r="A8" s="5" t="s">
        <v>75</v>
      </c>
      <c r="B8" s="5" t="s">
        <v>76</v>
      </c>
      <c r="C8" s="5" t="s">
        <v>77</v>
      </c>
      <c r="D8" s="5" t="str">
        <f>IFERROR(VLOOKUP($C8,機器区分マスタ!$A:$B,2,FALSE)&amp;"","")</f>
        <v>X線発生装置</v>
      </c>
      <c r="E8" s="5" t="s">
        <v>78</v>
      </c>
      <c r="F8" s="5" t="str">
        <f>IFERROR(VLOOKUP($E8,メーカーマスタ!$A:$B,2,FALSE)&amp;"","")</f>
        <v>島津製作所</v>
      </c>
      <c r="G8" s="5" t="s">
        <v>25</v>
      </c>
      <c r="H8" s="5" t="s">
        <v>79</v>
      </c>
      <c r="I8" s="5" t="s">
        <v>80</v>
      </c>
      <c r="J8" s="5" t="s">
        <v>81</v>
      </c>
      <c r="K8" s="6">
        <v>42891</v>
      </c>
      <c r="L8" s="5" t="str">
        <f t="shared" ca="1" si="0"/>
        <v>9年4ヶ月</v>
      </c>
      <c r="M8" s="5" t="s">
        <v>82</v>
      </c>
      <c r="N8" s="5" t="s">
        <v>83</v>
      </c>
      <c r="O8" s="5" t="str">
        <f>IFERROR(VLOOKUP($N8,部署マスタ!$A:$B,2,FALSE)&amp;"","")</f>
        <v>画像検査部</v>
      </c>
      <c r="P8" s="5" t="s">
        <v>84</v>
      </c>
      <c r="Q8" s="5" t="str">
        <f>IFERROR(VLOOKUP($P8,保管場所マスタ!$A:$B,2,FALSE)&amp;"","")</f>
        <v>第1撮影室</v>
      </c>
      <c r="R8" s="5" t="str">
        <f>IFERROR(VLOOKUP($P8,保管場所マスタ!$A:$E,5,FALSE)&amp;"","")</f>
        <v>市川クリニック</v>
      </c>
      <c r="S8" s="5" t="s">
        <v>32</v>
      </c>
      <c r="T8" s="5" t="s">
        <v>85</v>
      </c>
      <c r="U8" s="5" t="s">
        <v>86</v>
      </c>
    </row>
    <row r="9" spans="1:21" x14ac:dyDescent="0.15">
      <c r="A9" s="5" t="s">
        <v>87</v>
      </c>
      <c r="B9" s="5" t="s">
        <v>88</v>
      </c>
      <c r="C9" s="5" t="s">
        <v>89</v>
      </c>
      <c r="D9" s="5" t="str">
        <f>IFERROR(VLOOKUP($C9,機器区分マスタ!$A:$B,2,FALSE)&amp;"","")</f>
        <v>生体情報モニタ（ﾍﾞｯﾄﾞｻｲﾄﾞﾓﾆﾀ）</v>
      </c>
      <c r="E9" s="5" t="s">
        <v>90</v>
      </c>
      <c r="F9" s="5" t="str">
        <f>IFERROR(VLOOKUP($E9,メーカーマスタ!$A:$B,2,FALSE)&amp;"","")</f>
        <v>日本光電</v>
      </c>
      <c r="G9" s="5" t="s">
        <v>91</v>
      </c>
      <c r="H9" s="5" t="s">
        <v>92</v>
      </c>
      <c r="I9" s="5" t="s">
        <v>93</v>
      </c>
      <c r="J9" s="5" t="s">
        <v>94</v>
      </c>
      <c r="K9" s="6">
        <v>43344</v>
      </c>
      <c r="L9" s="5" t="str">
        <f t="shared" ca="1" si="0"/>
        <v>8年1ヶ月</v>
      </c>
      <c r="M9" s="5" t="s">
        <v>82</v>
      </c>
      <c r="N9" s="5" t="s">
        <v>95</v>
      </c>
      <c r="O9" s="5" t="str">
        <f>IFERROR(VLOOKUP($N9,部署マスタ!$A:$B,2,FALSE)&amp;"","")</f>
        <v>外来看護部</v>
      </c>
      <c r="P9" s="5" t="s">
        <v>96</v>
      </c>
      <c r="Q9" s="5" t="str">
        <f>IFERROR(VLOOKUP($P9,保管場所マスタ!$A:$B,2,FALSE)&amp;"","")</f>
        <v>検査室</v>
      </c>
      <c r="R9" s="5" t="str">
        <f>IFERROR(VLOOKUP($P9,保管場所マスタ!$A:$E,5,FALSE)&amp;"","")</f>
        <v>市川クリニック</v>
      </c>
      <c r="S9" s="5" t="s">
        <v>32</v>
      </c>
      <c r="T9" s="5" t="s">
        <v>97</v>
      </c>
      <c r="U9" s="5"/>
    </row>
    <row r="10" spans="1:21" x14ac:dyDescent="0.15">
      <c r="A10" s="5" t="s">
        <v>98</v>
      </c>
      <c r="B10" s="5" t="s">
        <v>99</v>
      </c>
      <c r="C10" s="5" t="s">
        <v>100</v>
      </c>
      <c r="D10" s="5" t="str">
        <f>IFERROR(VLOOKUP($C10,機器区分マスタ!$A:$B,2,FALSE)&amp;"","")</f>
        <v>パルスオキシメーター</v>
      </c>
      <c r="E10" s="5" t="s">
        <v>101</v>
      </c>
      <c r="F10" s="5" t="str">
        <f>IFERROR(VLOOKUP($E10,メーカーマスタ!$A:$B,2,FALSE)&amp;"","")</f>
        <v>フィンガルリンク</v>
      </c>
      <c r="G10" s="5"/>
      <c r="H10" s="5" t="s">
        <v>102</v>
      </c>
      <c r="I10" s="5" t="s">
        <v>103</v>
      </c>
      <c r="J10" s="5"/>
      <c r="K10" s="6">
        <v>43377</v>
      </c>
      <c r="L10" s="5" t="str">
        <f t="shared" ca="1" si="0"/>
        <v>8年0ヶ月</v>
      </c>
      <c r="M10" s="5" t="s">
        <v>29</v>
      </c>
      <c r="N10" s="5" t="s">
        <v>30</v>
      </c>
      <c r="O10" s="5" t="str">
        <f>IFERROR(VLOOKUP($N10,部署マスタ!$A:$B,2,FALSE)&amp;"","")</f>
        <v>理学診療部</v>
      </c>
      <c r="P10" s="5" t="s">
        <v>31</v>
      </c>
      <c r="Q10" s="5" t="str">
        <f>IFERROR(VLOOKUP($P10,保管場所マスタ!$A:$B,2,FALSE)&amp;"","")</f>
        <v>リハビリ室</v>
      </c>
      <c r="R10" s="5" t="str">
        <f>IFERROR(VLOOKUP($P10,保管場所マスタ!$A:$E,5,FALSE)&amp;"","")</f>
        <v>市川クリニック</v>
      </c>
      <c r="S10" s="5" t="s">
        <v>32</v>
      </c>
      <c r="T10" s="5" t="s">
        <v>104</v>
      </c>
      <c r="U10" s="5"/>
    </row>
    <row r="11" spans="1:21" x14ac:dyDescent="0.15">
      <c r="A11" s="5" t="s">
        <v>105</v>
      </c>
      <c r="B11" s="5" t="s">
        <v>106</v>
      </c>
      <c r="C11" s="5" t="s">
        <v>107</v>
      </c>
      <c r="D11" s="5" t="str">
        <f>IFERROR(VLOOKUP($C11,機器区分マスタ!$A:$B,2,FALSE)&amp;"","")</f>
        <v>血糖測定器</v>
      </c>
      <c r="E11" s="5" t="s">
        <v>108</v>
      </c>
      <c r="F11" s="5" t="str">
        <f>IFERROR(VLOOKUP($E11,メーカーマスタ!$A:$B,2,FALSE)&amp;"","")</f>
        <v>テルモ</v>
      </c>
      <c r="G11" s="5" t="s">
        <v>91</v>
      </c>
      <c r="H11" s="5" t="s">
        <v>109</v>
      </c>
      <c r="I11" s="5" t="s">
        <v>110</v>
      </c>
      <c r="J11" s="5"/>
      <c r="K11" s="6">
        <v>43770</v>
      </c>
      <c r="L11" s="5" t="str">
        <f t="shared" ca="1" si="0"/>
        <v>6年11ヶ月</v>
      </c>
      <c r="M11" s="5" t="s">
        <v>29</v>
      </c>
      <c r="N11" s="5" t="s">
        <v>95</v>
      </c>
      <c r="O11" s="5" t="str">
        <f>IFERROR(VLOOKUP($N11,部署マスタ!$A:$B,2,FALSE)&amp;"","")</f>
        <v>外来看護部</v>
      </c>
      <c r="P11" s="5" t="s">
        <v>111</v>
      </c>
      <c r="Q11" s="5" t="str">
        <f>IFERROR(VLOOKUP($P11,保管場所マスタ!$A:$B,2,FALSE)&amp;"","")</f>
        <v>処置室</v>
      </c>
      <c r="R11" s="5" t="str">
        <f>IFERROR(VLOOKUP($P11,保管場所マスタ!$A:$E,5,FALSE)&amp;"","")</f>
        <v>市川クリニック</v>
      </c>
      <c r="S11" s="5" t="s">
        <v>32</v>
      </c>
      <c r="T11" s="5" t="s">
        <v>112</v>
      </c>
      <c r="U11" s="5"/>
    </row>
    <row r="12" spans="1:21" x14ac:dyDescent="0.15">
      <c r="A12" s="5" t="s">
        <v>113</v>
      </c>
      <c r="B12" s="5" t="s">
        <v>114</v>
      </c>
      <c r="C12" s="5" t="s">
        <v>115</v>
      </c>
      <c r="D12" s="5" t="str">
        <f>IFERROR(VLOOKUP($C12,機器区分マスタ!$A:$B,2,FALSE)&amp;"","")</f>
        <v>斜面台</v>
      </c>
      <c r="E12" s="5" t="s">
        <v>116</v>
      </c>
      <c r="F12" s="5" t="str">
        <f>IFERROR(VLOOKUP($E12,メーカーマスタ!$A:$B,2,FALSE)&amp;"","")</f>
        <v>スカイライト</v>
      </c>
      <c r="G12" s="5"/>
      <c r="H12" s="5" t="s">
        <v>114</v>
      </c>
      <c r="I12" s="5" t="s">
        <v>117</v>
      </c>
      <c r="J12" s="5" t="s">
        <v>118</v>
      </c>
      <c r="K12" s="6">
        <v>40525</v>
      </c>
      <c r="L12" s="5" t="str">
        <f t="shared" ca="1" si="0"/>
        <v>15年9ヶ月</v>
      </c>
      <c r="M12" s="5" t="s">
        <v>29</v>
      </c>
      <c r="N12" s="5" t="s">
        <v>30</v>
      </c>
      <c r="O12" s="5" t="str">
        <f>IFERROR(VLOOKUP($N12,部署マスタ!$A:$B,2,FALSE)&amp;"","")</f>
        <v>理学診療部</v>
      </c>
      <c r="P12" s="5" t="s">
        <v>119</v>
      </c>
      <c r="Q12" s="5" t="str">
        <f>IFERROR(VLOOKUP($P12,保管場所マスタ!$A:$B,2,FALSE)&amp;"","")</f>
        <v>リハビリ室</v>
      </c>
      <c r="R12" s="5" t="str">
        <f>IFERROR(VLOOKUP($P12,保管場所マスタ!$A:$E,5,FALSE)&amp;"","")</f>
        <v>西船クリニック</v>
      </c>
      <c r="S12" s="5" t="s">
        <v>32</v>
      </c>
      <c r="T12" s="5" t="s">
        <v>120</v>
      </c>
      <c r="U12" s="5" t="s">
        <v>121</v>
      </c>
    </row>
    <row r="13" spans="1:21" x14ac:dyDescent="0.15">
      <c r="A13" s="5" t="s">
        <v>122</v>
      </c>
      <c r="B13" s="5" t="s">
        <v>123</v>
      </c>
      <c r="C13" s="5" t="s">
        <v>124</v>
      </c>
      <c r="D13" s="5" t="str">
        <f>IFERROR(VLOOKUP($C13,機器区分マスタ!$A:$B,2,FALSE)&amp;"","")</f>
        <v>体重計</v>
      </c>
      <c r="E13" s="5" t="s">
        <v>125</v>
      </c>
      <c r="F13" s="5" t="str">
        <f>IFERROR(VLOOKUP($E13,メーカーマスタ!$A:$B,2,FALSE)&amp;"","")</f>
        <v>タニタ</v>
      </c>
      <c r="G13" s="5"/>
      <c r="H13" s="5" t="s">
        <v>126</v>
      </c>
      <c r="I13" s="5" t="s">
        <v>127</v>
      </c>
      <c r="J13" s="5"/>
      <c r="K13" s="6">
        <v>40525</v>
      </c>
      <c r="L13" s="5" t="str">
        <f t="shared" ca="1" si="0"/>
        <v>15年9ヶ月</v>
      </c>
      <c r="M13" s="5" t="s">
        <v>29</v>
      </c>
      <c r="N13" s="5" t="s">
        <v>30</v>
      </c>
      <c r="O13" s="5" t="str">
        <f>IFERROR(VLOOKUP($N13,部署マスタ!$A:$B,2,FALSE)&amp;"","")</f>
        <v>理学診療部</v>
      </c>
      <c r="P13" s="5" t="s">
        <v>31</v>
      </c>
      <c r="Q13" s="5" t="str">
        <f>IFERROR(VLOOKUP($P13,保管場所マスタ!$A:$B,2,FALSE)&amp;"","")</f>
        <v>リハビリ室</v>
      </c>
      <c r="R13" s="5" t="str">
        <f>IFERROR(VLOOKUP($P13,保管場所マスタ!$A:$E,5,FALSE)&amp;"","")</f>
        <v>市川クリニック</v>
      </c>
      <c r="S13" s="5" t="s">
        <v>32</v>
      </c>
      <c r="T13" s="5" t="s">
        <v>128</v>
      </c>
      <c r="U13" s="5"/>
    </row>
    <row r="14" spans="1:21" x14ac:dyDescent="0.15">
      <c r="A14" s="5" t="s">
        <v>129</v>
      </c>
      <c r="B14" s="5" t="s">
        <v>130</v>
      </c>
      <c r="C14" s="5" t="s">
        <v>131</v>
      </c>
      <c r="D14" s="5" t="str">
        <f>IFERROR(VLOOKUP($C14,機器区分マスタ!$A:$B,2,FALSE)&amp;"","")</f>
        <v>AED</v>
      </c>
      <c r="E14" s="5" t="s">
        <v>90</v>
      </c>
      <c r="F14" s="5" t="str">
        <f>IFERROR(VLOOKUP($E14,メーカーマスタ!$A:$B,2,FALSE)&amp;"","")</f>
        <v>日本光電</v>
      </c>
      <c r="G14" s="5" t="s">
        <v>91</v>
      </c>
      <c r="H14" s="5" t="s">
        <v>132</v>
      </c>
      <c r="I14" s="5" t="s">
        <v>133</v>
      </c>
      <c r="J14" s="5" t="s">
        <v>134</v>
      </c>
      <c r="K14" s="6">
        <v>44273</v>
      </c>
      <c r="L14" s="5" t="str">
        <f t="shared" ca="1" si="0"/>
        <v>5年6ヶ月</v>
      </c>
      <c r="M14" s="5" t="s">
        <v>82</v>
      </c>
      <c r="N14" s="5" t="s">
        <v>135</v>
      </c>
      <c r="O14" s="5" t="str">
        <f>IFERROR(VLOOKUP($N14,部署マスタ!$A:$B,2,FALSE)&amp;"","")</f>
        <v>1F病棟</v>
      </c>
      <c r="P14" s="5" t="s">
        <v>136</v>
      </c>
      <c r="Q14" s="5" t="str">
        <f>IFERROR(VLOOKUP($P14,保管場所マスタ!$A:$B,2,FALSE)&amp;"","")</f>
        <v>ﾅｰｽｽﾃｰｼｮﾝ</v>
      </c>
      <c r="R14" s="5" t="str">
        <f>IFERROR(VLOOKUP($P14,保管場所マスタ!$A:$E,5,FALSE)&amp;"","")</f>
        <v>船橋整形外科病院</v>
      </c>
      <c r="S14" s="5" t="s">
        <v>32</v>
      </c>
      <c r="T14" s="5" t="s">
        <v>137</v>
      </c>
      <c r="U14" s="5" t="s">
        <v>138</v>
      </c>
    </row>
    <row r="15" spans="1:21" x14ac:dyDescent="0.15">
      <c r="A15" s="5" t="s">
        <v>139</v>
      </c>
      <c r="B15" s="5" t="s">
        <v>140</v>
      </c>
      <c r="C15" s="5" t="s">
        <v>141</v>
      </c>
      <c r="D15" s="5" t="str">
        <f>IFERROR(VLOOKUP($C15,機器区分マスタ!$A:$B,2,FALSE)&amp;"","")</f>
        <v>検像端末</v>
      </c>
      <c r="E15" s="5" t="s">
        <v>142</v>
      </c>
      <c r="F15" s="5" t="str">
        <f>IFERROR(VLOOKUP($E15,メーカーマスタ!$A:$B,2,FALSE)&amp;"","")</f>
        <v>富士フィルム医療ソリューションズ</v>
      </c>
      <c r="G15" s="5"/>
      <c r="H15" s="5" t="s">
        <v>140</v>
      </c>
      <c r="I15" s="5" t="s">
        <v>143</v>
      </c>
      <c r="J15" s="5" t="s">
        <v>144</v>
      </c>
      <c r="K15" s="6">
        <v>42856</v>
      </c>
      <c r="L15" s="5" t="str">
        <f t="shared" ca="1" si="0"/>
        <v>9年5ヶ月</v>
      </c>
      <c r="M15" s="5" t="s">
        <v>29</v>
      </c>
      <c r="N15" s="5" t="s">
        <v>83</v>
      </c>
      <c r="O15" s="5" t="str">
        <f>IFERROR(VLOOKUP($N15,部署マスタ!$A:$B,2,FALSE)&amp;"","")</f>
        <v>画像検査部</v>
      </c>
      <c r="P15" s="5" t="s">
        <v>145</v>
      </c>
      <c r="Q15" s="5" t="str">
        <f>IFERROR(VLOOKUP($P15,保管場所マスタ!$A:$B,2,FALSE)&amp;"","")</f>
        <v>MRI操作室</v>
      </c>
      <c r="R15" s="5" t="str">
        <f>IFERROR(VLOOKUP($P15,保管場所マスタ!$A:$E,5,FALSE)&amp;"","")</f>
        <v>市川クリニック</v>
      </c>
      <c r="S15" s="5" t="s">
        <v>146</v>
      </c>
      <c r="T15" s="5" t="s">
        <v>147</v>
      </c>
      <c r="U15" s="5" t="s">
        <v>148</v>
      </c>
    </row>
    <row r="16" spans="1:21" x14ac:dyDescent="0.15">
      <c r="A16" s="5" t="s">
        <v>149</v>
      </c>
      <c r="B16" s="5" t="s">
        <v>150</v>
      </c>
      <c r="C16" s="5" t="s">
        <v>151</v>
      </c>
      <c r="D16" s="5" t="str">
        <f>IFERROR(VLOOKUP($C16,機器区分マスタ!$A:$B,2,FALSE)&amp;"","")</f>
        <v>壁掛式流量計</v>
      </c>
      <c r="E16" s="5" t="s">
        <v>152</v>
      </c>
      <c r="F16" s="5" t="str">
        <f>IFERROR(VLOOKUP($E16,メーカーマスタ!$A:$B,2,FALSE)&amp;"","")</f>
        <v>小池メディカル</v>
      </c>
      <c r="G16" s="5" t="s">
        <v>25</v>
      </c>
      <c r="H16" s="5" t="s">
        <v>153</v>
      </c>
      <c r="I16" s="5" t="s">
        <v>154</v>
      </c>
      <c r="J16" s="5" t="s">
        <v>155</v>
      </c>
      <c r="K16" s="6">
        <v>43617</v>
      </c>
      <c r="L16" s="5" t="str">
        <f t="shared" ca="1" si="0"/>
        <v>7年4ヶ月</v>
      </c>
      <c r="M16" s="5" t="s">
        <v>29</v>
      </c>
      <c r="N16" s="5" t="s">
        <v>135</v>
      </c>
      <c r="O16" s="5" t="str">
        <f>IFERROR(VLOOKUP($N16,部署マスタ!$A:$B,2,FALSE)&amp;"","")</f>
        <v>1F病棟</v>
      </c>
      <c r="P16" s="5" t="s">
        <v>156</v>
      </c>
      <c r="Q16" s="5" t="str">
        <f>IFERROR(VLOOKUP($P16,保管場所マスタ!$A:$B,2,FALSE)&amp;"","")</f>
        <v>処置室</v>
      </c>
      <c r="R16" s="5" t="str">
        <f>IFERROR(VLOOKUP($P16,保管場所マスタ!$A:$E,5,FALSE)&amp;"","")</f>
        <v>船橋整形外科病院</v>
      </c>
      <c r="S16" s="5" t="s">
        <v>32</v>
      </c>
      <c r="T16" s="5" t="s">
        <v>157</v>
      </c>
      <c r="U16" s="5"/>
    </row>
    <row r="17" spans="1:21" x14ac:dyDescent="0.15">
      <c r="A17" s="5" t="s">
        <v>158</v>
      </c>
      <c r="B17" s="5" t="s">
        <v>159</v>
      </c>
      <c r="C17" s="5" t="s">
        <v>160</v>
      </c>
      <c r="D17" s="5" t="str">
        <f>IFERROR(VLOOKUP($C17,機器区分マスタ!$A:$B,2,FALSE)&amp;"","")</f>
        <v>FPD</v>
      </c>
      <c r="E17" s="5" t="s">
        <v>161</v>
      </c>
      <c r="F17" s="5" t="str">
        <f>IFERROR(VLOOKUP($E17,メーカーマスタ!$A:$B,2,FALSE)&amp;"","")</f>
        <v>コニカミノルタ</v>
      </c>
      <c r="G17" s="5" t="s">
        <v>25</v>
      </c>
      <c r="H17" s="5" t="s">
        <v>159</v>
      </c>
      <c r="I17" s="5" t="s">
        <v>162</v>
      </c>
      <c r="J17" s="5" t="s">
        <v>163</v>
      </c>
      <c r="K17" s="6">
        <v>45211</v>
      </c>
      <c r="L17" s="5" t="str">
        <f t="shared" ca="1" si="0"/>
        <v>2年11ヶ月</v>
      </c>
      <c r="M17" s="5" t="s">
        <v>82</v>
      </c>
      <c r="N17" s="5" t="s">
        <v>83</v>
      </c>
      <c r="O17" s="5" t="str">
        <f>IFERROR(VLOOKUP($N17,部署マスタ!$A:$B,2,FALSE)&amp;"","")</f>
        <v>画像検査部</v>
      </c>
      <c r="P17" s="5" t="s">
        <v>164</v>
      </c>
      <c r="Q17" s="5" t="str">
        <f>IFERROR(VLOOKUP($P17,保管場所マスタ!$A:$B,2,FALSE)&amp;"","")</f>
        <v>第2撮影室</v>
      </c>
      <c r="R17" s="5" t="str">
        <f>IFERROR(VLOOKUP($P17,保管場所マスタ!$A:$E,5,FALSE)&amp;"","")</f>
        <v>市川クリニック</v>
      </c>
      <c r="S17" s="5" t="s">
        <v>32</v>
      </c>
      <c r="T17" s="5" t="s">
        <v>165</v>
      </c>
      <c r="U17" s="5" t="s">
        <v>86</v>
      </c>
    </row>
    <row r="18" spans="1:21" x14ac:dyDescent="0.15">
      <c r="A18" s="5" t="s">
        <v>166</v>
      </c>
      <c r="B18" s="5" t="s">
        <v>167</v>
      </c>
      <c r="C18" s="5" t="s">
        <v>168</v>
      </c>
      <c r="D18" s="5" t="str">
        <f>IFERROR(VLOOKUP($C18,機器区分マスタ!$A:$B,2,FALSE)&amp;"","")</f>
        <v>低周波治療器</v>
      </c>
      <c r="E18" s="5" t="s">
        <v>169</v>
      </c>
      <c r="F18" s="5" t="str">
        <f>IFERROR(VLOOKUP($E18,メーカーマスタ!$A:$B,2,FALSE)&amp;"","")</f>
        <v>酒井医療</v>
      </c>
      <c r="G18" s="5" t="s">
        <v>25</v>
      </c>
      <c r="H18" s="5" t="s">
        <v>170</v>
      </c>
      <c r="I18" s="5" t="s">
        <v>171</v>
      </c>
      <c r="J18" s="5" t="s">
        <v>172</v>
      </c>
      <c r="K18" s="6">
        <v>45321</v>
      </c>
      <c r="L18" s="5" t="str">
        <f t="shared" ca="1" si="0"/>
        <v>2年8ヶ月</v>
      </c>
      <c r="M18" s="5" t="s">
        <v>82</v>
      </c>
      <c r="N18" s="5" t="s">
        <v>30</v>
      </c>
      <c r="O18" s="5" t="str">
        <f>IFERROR(VLOOKUP($N18,部署マスタ!$A:$B,2,FALSE)&amp;"","")</f>
        <v>理学診療部</v>
      </c>
      <c r="P18" s="5" t="s">
        <v>119</v>
      </c>
      <c r="Q18" s="5" t="str">
        <f>IFERROR(VLOOKUP($P18,保管場所マスタ!$A:$B,2,FALSE)&amp;"","")</f>
        <v>リハビリ室</v>
      </c>
      <c r="R18" s="5" t="str">
        <f>IFERROR(VLOOKUP($P18,保管場所マスタ!$A:$E,5,FALSE)&amp;"","")</f>
        <v>西船クリニック</v>
      </c>
      <c r="S18" s="5" t="s">
        <v>32</v>
      </c>
      <c r="T18" s="5" t="s">
        <v>173</v>
      </c>
      <c r="U18" s="5"/>
    </row>
    <row r="19" spans="1:21" x14ac:dyDescent="0.15">
      <c r="A19" s="5" t="s">
        <v>174</v>
      </c>
      <c r="B19" s="5" t="s">
        <v>175</v>
      </c>
      <c r="C19" s="5" t="s">
        <v>176</v>
      </c>
      <c r="D19" s="5" t="str">
        <f>IFERROR(VLOOKUP($C19,機器区分マスタ!$A:$B,2,FALSE)&amp;"","")</f>
        <v>多機能心電計</v>
      </c>
      <c r="E19" s="5" t="s">
        <v>177</v>
      </c>
      <c r="F19" s="5" t="str">
        <f>IFERROR(VLOOKUP($E19,メーカーマスタ!$A:$B,2,FALSE)&amp;"","")</f>
        <v>フクダ電子</v>
      </c>
      <c r="G19" s="5" t="s">
        <v>25</v>
      </c>
      <c r="H19" s="5" t="s">
        <v>178</v>
      </c>
      <c r="I19" s="5" t="s">
        <v>179</v>
      </c>
      <c r="J19" s="5" t="s">
        <v>180</v>
      </c>
      <c r="K19" s="6">
        <v>40299</v>
      </c>
      <c r="L19" s="5" t="str">
        <f t="shared" ca="1" si="0"/>
        <v>16年5ヶ月</v>
      </c>
      <c r="M19" s="5" t="s">
        <v>29</v>
      </c>
      <c r="N19" s="5" t="s">
        <v>181</v>
      </c>
      <c r="O19" s="5" t="str">
        <f>IFERROR(VLOOKUP($N19,部署マスタ!$A:$B,2,FALSE)&amp;"","")</f>
        <v>臨床検査部</v>
      </c>
      <c r="P19" s="5" t="s">
        <v>182</v>
      </c>
      <c r="Q19" s="5" t="str">
        <f>IFERROR(VLOOKUP($P19,保管場所マスタ!$A:$B,2,FALSE)&amp;"","")</f>
        <v>1B 生理検査室</v>
      </c>
      <c r="R19" s="5" t="str">
        <f>IFERROR(VLOOKUP($P19,保管場所マスタ!$A:$E,5,FALSE)&amp;"","")</f>
        <v>船橋整形外科クリニック</v>
      </c>
      <c r="S19" s="5" t="s">
        <v>32</v>
      </c>
      <c r="T19" s="5" t="s">
        <v>183</v>
      </c>
      <c r="U19" s="5"/>
    </row>
    <row r="20" spans="1:21" x14ac:dyDescent="0.15">
      <c r="A20" s="5" t="s">
        <v>184</v>
      </c>
      <c r="B20" s="5" t="s">
        <v>185</v>
      </c>
      <c r="C20" s="5" t="s">
        <v>186</v>
      </c>
      <c r="D20" s="5" t="str">
        <f>IFERROR(VLOOKUP($C20,機器区分マスタ!$A:$B,2,FALSE)&amp;"","")</f>
        <v>超音波診断装置</v>
      </c>
      <c r="E20" s="5" t="s">
        <v>187</v>
      </c>
      <c r="F20" s="5" t="str">
        <f>IFERROR(VLOOKUP($E20,メーカーマスタ!$A:$B,2,FALSE)&amp;"","")</f>
        <v>キヤノンメディカル</v>
      </c>
      <c r="G20" s="5" t="s">
        <v>25</v>
      </c>
      <c r="H20" s="5" t="s">
        <v>188</v>
      </c>
      <c r="I20" s="5" t="s">
        <v>189</v>
      </c>
      <c r="J20" s="5" t="s">
        <v>190</v>
      </c>
      <c r="K20" s="6">
        <v>41456</v>
      </c>
      <c r="L20" s="5" t="str">
        <f t="shared" ca="1" si="0"/>
        <v>13年3ヶ月</v>
      </c>
      <c r="M20" s="5" t="s">
        <v>82</v>
      </c>
      <c r="N20" s="5" t="s">
        <v>181</v>
      </c>
      <c r="O20" s="5" t="str">
        <f>IFERROR(VLOOKUP($N20,部署マスタ!$A:$B,2,FALSE)&amp;"","")</f>
        <v>臨床検査部</v>
      </c>
      <c r="P20" s="5" t="s">
        <v>182</v>
      </c>
      <c r="Q20" s="5" t="str">
        <f>IFERROR(VLOOKUP($P20,保管場所マスタ!$A:$B,2,FALSE)&amp;"","")</f>
        <v>1B 生理検査室</v>
      </c>
      <c r="R20" s="5" t="str">
        <f>IFERROR(VLOOKUP($P20,保管場所マスタ!$A:$E,5,FALSE)&amp;"","")</f>
        <v>船橋整形外科クリニック</v>
      </c>
      <c r="S20" s="5" t="s">
        <v>32</v>
      </c>
      <c r="T20" s="5" t="s">
        <v>191</v>
      </c>
      <c r="U20" s="5"/>
    </row>
    <row r="21" spans="1:21" x14ac:dyDescent="0.15">
      <c r="A21" s="5" t="s">
        <v>192</v>
      </c>
      <c r="B21" s="5" t="s">
        <v>193</v>
      </c>
      <c r="C21" s="5" t="s">
        <v>194</v>
      </c>
      <c r="D21" s="5" t="str">
        <f>IFERROR(VLOOKUP($C21,機器区分マスタ!$A:$B,2,FALSE)&amp;"","")</f>
        <v>超音波プローブ</v>
      </c>
      <c r="E21" s="5" t="s">
        <v>187</v>
      </c>
      <c r="F21" s="5" t="str">
        <f>IFERROR(VLOOKUP($E21,メーカーマスタ!$A:$B,2,FALSE)&amp;"","")</f>
        <v>キヤノンメディカル</v>
      </c>
      <c r="G21" s="5" t="s">
        <v>25</v>
      </c>
      <c r="H21" s="5" t="s">
        <v>195</v>
      </c>
      <c r="I21" s="5" t="s">
        <v>196</v>
      </c>
      <c r="J21" s="5"/>
      <c r="K21" s="6">
        <v>41456</v>
      </c>
      <c r="L21" s="5" t="str">
        <f t="shared" ca="1" si="0"/>
        <v>13年3ヶ月</v>
      </c>
      <c r="M21" s="5" t="s">
        <v>82</v>
      </c>
      <c r="N21" s="5" t="s">
        <v>181</v>
      </c>
      <c r="O21" s="5" t="str">
        <f>IFERROR(VLOOKUP($N21,部署マスタ!$A:$B,2,FALSE)&amp;"","")</f>
        <v>臨床検査部</v>
      </c>
      <c r="P21" s="5" t="s">
        <v>182</v>
      </c>
      <c r="Q21" s="5" t="str">
        <f>IFERROR(VLOOKUP($P21,保管場所マスタ!$A:$B,2,FALSE)&amp;"","")</f>
        <v>1B 生理検査室</v>
      </c>
      <c r="R21" s="5" t="str">
        <f>IFERROR(VLOOKUP($P21,保管場所マスタ!$A:$E,5,FALSE)&amp;"","")</f>
        <v>船橋整形外科クリニック</v>
      </c>
      <c r="S21" s="5" t="s">
        <v>32</v>
      </c>
      <c r="T21" s="5" t="s">
        <v>197</v>
      </c>
      <c r="U21" s="5" t="s">
        <v>198</v>
      </c>
    </row>
  </sheetData>
  <autoFilter ref="A1:U1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6.625" customWidth="1"/>
    <col min="2" max="2" width="14.5" customWidth="1"/>
    <col min="3" max="3" width="24" customWidth="1"/>
    <col min="4" max="4" width="14.5" customWidth="1"/>
    <col min="5" max="5" width="12.375" customWidth="1"/>
    <col min="6" max="7" width="22.875" customWidth="1"/>
    <col min="8" max="8" width="10.25" customWidth="1"/>
    <col min="9" max="10" width="10" customWidth="1"/>
  </cols>
  <sheetData>
    <row r="1" spans="1:10" ht="21.95" customHeight="1" x14ac:dyDescent="0.15">
      <c r="A1" s="1" t="s">
        <v>2</v>
      </c>
      <c r="B1" s="2" t="s">
        <v>3</v>
      </c>
      <c r="C1" s="2" t="s">
        <v>199</v>
      </c>
      <c r="D1" s="3" t="s">
        <v>200</v>
      </c>
      <c r="E1" s="4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</v>
      </c>
    </row>
    <row r="2" spans="1:10" x14ac:dyDescent="0.15">
      <c r="A2" s="5" t="s">
        <v>37</v>
      </c>
      <c r="B2" s="5" t="s">
        <v>206</v>
      </c>
      <c r="C2" s="5"/>
      <c r="D2" s="5" t="s">
        <v>207</v>
      </c>
      <c r="E2" s="5" t="str">
        <f>IFERROR(VLOOKUP($D2,点検表マスタ!$A:$B,2,FALSE)&amp;"","")</f>
        <v>診察台（電動式） 点検表</v>
      </c>
      <c r="F2" s="5">
        <v>6</v>
      </c>
      <c r="G2" s="5"/>
      <c r="H2" s="5">
        <v>1</v>
      </c>
      <c r="I2" s="5" t="s">
        <v>208</v>
      </c>
      <c r="J2" s="5"/>
    </row>
    <row r="3" spans="1:10" x14ac:dyDescent="0.15">
      <c r="A3" s="5" t="s">
        <v>100</v>
      </c>
      <c r="B3" s="5" t="s">
        <v>209</v>
      </c>
      <c r="C3" s="5"/>
      <c r="D3" s="5" t="s">
        <v>210</v>
      </c>
      <c r="E3" s="5" t="str">
        <f>IFERROR(VLOOKUP($D3,点検表マスタ!$A:$B,2,FALSE)&amp;"","")</f>
        <v>パルスオキシメーター 点検表</v>
      </c>
      <c r="F3" s="5">
        <v>6</v>
      </c>
      <c r="G3" s="5"/>
      <c r="H3" s="5">
        <v>2</v>
      </c>
      <c r="I3" s="5" t="s">
        <v>208</v>
      </c>
      <c r="J3" s="5"/>
    </row>
    <row r="4" spans="1:10" x14ac:dyDescent="0.15">
      <c r="A4" s="5" t="s">
        <v>46</v>
      </c>
      <c r="B4" s="5" t="s">
        <v>211</v>
      </c>
      <c r="C4" s="5" t="s">
        <v>208</v>
      </c>
      <c r="D4" s="5" t="s">
        <v>212</v>
      </c>
      <c r="E4" s="5" t="str">
        <f>IFERROR(VLOOKUP($D4,点検表マスタ!$A:$B,2,FALSE)&amp;"","")</f>
        <v>電子血圧計 点検表</v>
      </c>
      <c r="F4" s="5">
        <v>1</v>
      </c>
      <c r="G4" s="5"/>
      <c r="H4" s="5">
        <v>3</v>
      </c>
      <c r="I4" s="5" t="s">
        <v>208</v>
      </c>
      <c r="J4" s="5"/>
    </row>
    <row r="5" spans="1:10" x14ac:dyDescent="0.15">
      <c r="A5" s="5" t="s">
        <v>160</v>
      </c>
      <c r="B5" s="5" t="s">
        <v>213</v>
      </c>
      <c r="C5" s="5" t="s">
        <v>208</v>
      </c>
      <c r="D5" s="5" t="s">
        <v>214</v>
      </c>
      <c r="E5" s="5" t="str">
        <f>IFERROR(VLOOKUP($D5,点検表マスタ!$A:$B,2,FALSE)&amp;"","")</f>
        <v>FPD 点検表</v>
      </c>
      <c r="F5" s="5">
        <v>3</v>
      </c>
      <c r="G5" s="5">
        <v>12</v>
      </c>
      <c r="H5" s="5">
        <v>4</v>
      </c>
      <c r="I5" s="5" t="s">
        <v>208</v>
      </c>
      <c r="J5" s="5"/>
    </row>
    <row r="6" spans="1:10" x14ac:dyDescent="0.15">
      <c r="A6" s="5" t="s">
        <v>124</v>
      </c>
      <c r="B6" s="5" t="s">
        <v>123</v>
      </c>
      <c r="C6" s="5"/>
      <c r="D6" s="5" t="s">
        <v>215</v>
      </c>
      <c r="E6" s="5" t="str">
        <f>IFERROR(VLOOKUP($D6,点検表マスタ!$A:$B,2,FALSE)&amp;"","")</f>
        <v>体重計 点検表</v>
      </c>
      <c r="F6" s="5">
        <v>12</v>
      </c>
      <c r="G6" s="5"/>
      <c r="H6" s="5">
        <v>5</v>
      </c>
      <c r="I6" s="5" t="s">
        <v>208</v>
      </c>
      <c r="J6" s="5"/>
    </row>
    <row r="7" spans="1:10" x14ac:dyDescent="0.15">
      <c r="A7" s="5" t="s">
        <v>186</v>
      </c>
      <c r="B7" s="5" t="s">
        <v>216</v>
      </c>
      <c r="C7" s="5" t="s">
        <v>208</v>
      </c>
      <c r="D7" s="5" t="s">
        <v>217</v>
      </c>
      <c r="E7" s="5" t="str">
        <f>IFERROR(VLOOKUP($D7,点検表マスタ!$A:$B,2,FALSE)&amp;"","")</f>
        <v>超音波診断装置 点検表</v>
      </c>
      <c r="F7" s="5">
        <v>3</v>
      </c>
      <c r="G7" s="5">
        <v>12</v>
      </c>
      <c r="H7" s="5">
        <v>6</v>
      </c>
      <c r="I7" s="5" t="s">
        <v>208</v>
      </c>
      <c r="J7" s="5"/>
    </row>
    <row r="8" spans="1:10" x14ac:dyDescent="0.15">
      <c r="A8" s="5" t="s">
        <v>131</v>
      </c>
      <c r="B8" s="5" t="s">
        <v>218</v>
      </c>
      <c r="C8" s="5" t="s">
        <v>208</v>
      </c>
      <c r="D8" s="5" t="s">
        <v>219</v>
      </c>
      <c r="E8" s="5" t="str">
        <f>IFERROR(VLOOKUP($D8,点検表マスタ!$A:$B,2,FALSE)&amp;"","")</f>
        <v>AED 点検表</v>
      </c>
      <c r="F8" s="5">
        <v>1</v>
      </c>
      <c r="G8" s="5">
        <v>12</v>
      </c>
      <c r="H8" s="5">
        <v>7</v>
      </c>
      <c r="I8" s="5" t="s">
        <v>208</v>
      </c>
      <c r="J8" s="5"/>
    </row>
    <row r="9" spans="1:10" x14ac:dyDescent="0.15">
      <c r="A9" s="5" t="s">
        <v>54</v>
      </c>
      <c r="B9" s="5" t="s">
        <v>220</v>
      </c>
      <c r="C9" s="5"/>
      <c r="D9" s="5" t="s">
        <v>221</v>
      </c>
      <c r="E9" s="5" t="str">
        <f>IFERROR(VLOOKUP($D9,点検表マスタ!$A:$B,2,FALSE)&amp;"","")</f>
        <v>電子握力計 点検表</v>
      </c>
      <c r="F9" s="5">
        <v>12</v>
      </c>
      <c r="G9" s="5"/>
      <c r="H9" s="5">
        <v>8</v>
      </c>
      <c r="I9" s="5" t="s">
        <v>208</v>
      </c>
      <c r="J9" s="5"/>
    </row>
    <row r="10" spans="1:10" x14ac:dyDescent="0.15">
      <c r="A10" s="5" t="s">
        <v>151</v>
      </c>
      <c r="B10" s="5" t="s">
        <v>150</v>
      </c>
      <c r="C10" s="5" t="s">
        <v>208</v>
      </c>
      <c r="D10" s="5" t="s">
        <v>222</v>
      </c>
      <c r="E10" s="5" t="str">
        <f>IFERROR(VLOOKUP($D10,点検表マスタ!$A:$B,2,FALSE)&amp;"","")</f>
        <v>壁掛式流量計 点検表</v>
      </c>
      <c r="F10" s="5">
        <v>6</v>
      </c>
      <c r="G10" s="5"/>
      <c r="H10" s="5">
        <v>9</v>
      </c>
      <c r="I10" s="5" t="s">
        <v>208</v>
      </c>
      <c r="J10" s="5"/>
    </row>
    <row r="11" spans="1:10" x14ac:dyDescent="0.15">
      <c r="A11" s="5" t="s">
        <v>62</v>
      </c>
      <c r="B11" s="5" t="s">
        <v>223</v>
      </c>
      <c r="C11" s="5" t="s">
        <v>208</v>
      </c>
      <c r="D11" s="5" t="s">
        <v>224</v>
      </c>
      <c r="E11" s="5" t="str">
        <f>IFERROR(VLOOKUP($D11,点検表マスタ!$A:$B,2,FALSE)&amp;"","")</f>
        <v>電子体温計 点検表</v>
      </c>
      <c r="F11" s="5">
        <v>12</v>
      </c>
      <c r="G11" s="5"/>
      <c r="H11" s="5">
        <v>10</v>
      </c>
      <c r="I11" s="5" t="s">
        <v>208</v>
      </c>
      <c r="J11" s="5"/>
    </row>
    <row r="12" spans="1:10" x14ac:dyDescent="0.15">
      <c r="A12" s="5" t="s">
        <v>77</v>
      </c>
      <c r="B12" s="5" t="s">
        <v>225</v>
      </c>
      <c r="C12" s="5" t="s">
        <v>208</v>
      </c>
      <c r="D12" s="5" t="s">
        <v>226</v>
      </c>
      <c r="E12" s="5" t="str">
        <f>IFERROR(VLOOKUP($D12,点検表マスタ!$A:$B,2,FALSE)&amp;"","")</f>
        <v>X線発生装置 点検表</v>
      </c>
      <c r="F12" s="5">
        <v>3</v>
      </c>
      <c r="G12" s="5">
        <v>12</v>
      </c>
      <c r="H12" s="5">
        <v>11</v>
      </c>
      <c r="I12" s="5" t="s">
        <v>208</v>
      </c>
      <c r="J12" s="5"/>
    </row>
    <row r="13" spans="1:10" x14ac:dyDescent="0.15">
      <c r="A13" s="5" t="s">
        <v>69</v>
      </c>
      <c r="B13" s="5" t="s">
        <v>227</v>
      </c>
      <c r="C13" s="5"/>
      <c r="D13" s="5" t="s">
        <v>228</v>
      </c>
      <c r="E13" s="5" t="str">
        <f>IFERROR(VLOOKUP($D13,点検表マスタ!$A:$B,2,FALSE)&amp;"","")</f>
        <v>エルゴメーター 点検表</v>
      </c>
      <c r="F13" s="5">
        <v>6</v>
      </c>
      <c r="G13" s="5"/>
      <c r="H13" s="5">
        <v>12</v>
      </c>
      <c r="I13" s="5" t="s">
        <v>208</v>
      </c>
      <c r="J13" s="5"/>
    </row>
    <row r="14" spans="1:10" x14ac:dyDescent="0.15">
      <c r="A14" s="5" t="s">
        <v>168</v>
      </c>
      <c r="B14" s="5" t="s">
        <v>229</v>
      </c>
      <c r="C14" s="5" t="s">
        <v>208</v>
      </c>
      <c r="D14" s="5" t="s">
        <v>230</v>
      </c>
      <c r="E14" s="5" t="str">
        <f>IFERROR(VLOOKUP($D14,点検表マスタ!$A:$B,2,FALSE)&amp;"","")</f>
        <v>低周波治療器 点検表</v>
      </c>
      <c r="F14" s="5">
        <v>1</v>
      </c>
      <c r="G14" s="5">
        <v>12</v>
      </c>
      <c r="H14" s="5">
        <v>13</v>
      </c>
      <c r="I14" s="5" t="s">
        <v>208</v>
      </c>
      <c r="J14" s="5"/>
    </row>
    <row r="15" spans="1:10" x14ac:dyDescent="0.15">
      <c r="A15" s="5" t="s">
        <v>176</v>
      </c>
      <c r="B15" s="5" t="s">
        <v>231</v>
      </c>
      <c r="C15" s="5" t="s">
        <v>208</v>
      </c>
      <c r="D15" s="5" t="s">
        <v>232</v>
      </c>
      <c r="E15" s="5" t="str">
        <f>IFERROR(VLOOKUP($D15,点検表マスタ!$A:$B,2,FALSE)&amp;"","")</f>
        <v>多機能心電計 点検表</v>
      </c>
      <c r="F15" s="5">
        <v>3</v>
      </c>
      <c r="G15" s="5">
        <v>12</v>
      </c>
      <c r="H15" s="5">
        <v>14</v>
      </c>
      <c r="I15" s="5" t="s">
        <v>208</v>
      </c>
      <c r="J15" s="5"/>
    </row>
    <row r="16" spans="1:10" x14ac:dyDescent="0.15">
      <c r="A16" s="5" t="s">
        <v>23</v>
      </c>
      <c r="B16" s="5" t="s">
        <v>233</v>
      </c>
      <c r="C16" s="5" t="s">
        <v>208</v>
      </c>
      <c r="D16" s="5" t="s">
        <v>234</v>
      </c>
      <c r="E16" s="5" t="str">
        <f>IFERROR(VLOOKUP($D16,点検表マスタ!$A:$B,2,FALSE)&amp;"","")</f>
        <v>高周波 点検表</v>
      </c>
      <c r="F16" s="5">
        <v>1</v>
      </c>
      <c r="G16" s="5">
        <v>12</v>
      </c>
      <c r="H16" s="5">
        <v>15</v>
      </c>
      <c r="I16" s="5" t="s">
        <v>208</v>
      </c>
      <c r="J16" s="5"/>
    </row>
    <row r="17" spans="1:10" x14ac:dyDescent="0.15">
      <c r="A17" s="5" t="s">
        <v>107</v>
      </c>
      <c r="B17" s="5" t="s">
        <v>235</v>
      </c>
      <c r="C17" s="5" t="s">
        <v>208</v>
      </c>
      <c r="D17" s="5" t="s">
        <v>236</v>
      </c>
      <c r="E17" s="5" t="str">
        <f>IFERROR(VLOOKUP($D17,点検表マスタ!$A:$B,2,FALSE)&amp;"","")</f>
        <v>血糖測定器 点検表</v>
      </c>
      <c r="F17" s="5">
        <v>1</v>
      </c>
      <c r="G17" s="5"/>
      <c r="H17" s="5">
        <v>16</v>
      </c>
      <c r="I17" s="5" t="s">
        <v>208</v>
      </c>
      <c r="J17" s="5"/>
    </row>
    <row r="18" spans="1:10" x14ac:dyDescent="0.15">
      <c r="A18" s="5" t="s">
        <v>194</v>
      </c>
      <c r="B18" s="5" t="s">
        <v>237</v>
      </c>
      <c r="C18" s="5" t="s">
        <v>208</v>
      </c>
      <c r="D18" s="5" t="s">
        <v>238</v>
      </c>
      <c r="E18" s="5" t="str">
        <f>IFERROR(VLOOKUP($D18,点検表マスタ!$A:$B,2,FALSE)&amp;"","")</f>
        <v>超音波プローブ 点検表</v>
      </c>
      <c r="F18" s="5">
        <v>3</v>
      </c>
      <c r="G18" s="5">
        <v>12</v>
      </c>
      <c r="H18" s="5">
        <v>17</v>
      </c>
      <c r="I18" s="5" t="s">
        <v>208</v>
      </c>
      <c r="J18" s="5"/>
    </row>
    <row r="19" spans="1:10" x14ac:dyDescent="0.15">
      <c r="A19" s="5" t="s">
        <v>115</v>
      </c>
      <c r="B19" s="5" t="s">
        <v>239</v>
      </c>
      <c r="C19" s="5"/>
      <c r="D19" s="5" t="s">
        <v>240</v>
      </c>
      <c r="E19" s="5" t="str">
        <f>IFERROR(VLOOKUP($D19,点検表マスタ!$A:$B,2,FALSE)&amp;"","")</f>
        <v>斜面台 点検表</v>
      </c>
      <c r="F19" s="5">
        <v>12</v>
      </c>
      <c r="G19" s="5"/>
      <c r="H19" s="5">
        <v>18</v>
      </c>
      <c r="I19" s="5" t="s">
        <v>208</v>
      </c>
      <c r="J19" s="5"/>
    </row>
    <row r="20" spans="1:10" x14ac:dyDescent="0.15">
      <c r="A20" s="5" t="s">
        <v>89</v>
      </c>
      <c r="B20" s="5" t="s">
        <v>241</v>
      </c>
      <c r="C20" s="5" t="s">
        <v>208</v>
      </c>
      <c r="D20" s="5" t="s">
        <v>242</v>
      </c>
      <c r="E20" s="5" t="str">
        <f>IFERROR(VLOOKUP($D20,点検表マスタ!$A:$B,2,FALSE)&amp;"","")</f>
        <v>生体情報モニタ（ﾍﾞｯﾄﾞｻｲﾄﾞﾓﾆﾀ） 点検表</v>
      </c>
      <c r="F20" s="5">
        <v>1</v>
      </c>
      <c r="G20" s="5">
        <v>12</v>
      </c>
      <c r="H20" s="5">
        <v>19</v>
      </c>
      <c r="I20" s="5" t="s">
        <v>208</v>
      </c>
      <c r="J20" s="5"/>
    </row>
    <row r="21" spans="1:10" x14ac:dyDescent="0.15">
      <c r="A21" s="5" t="s">
        <v>141</v>
      </c>
      <c r="B21" s="5" t="s">
        <v>243</v>
      </c>
      <c r="C21" s="5"/>
      <c r="D21" s="5" t="s">
        <v>244</v>
      </c>
      <c r="E21" s="5" t="str">
        <f>IFERROR(VLOOKUP($D21,点検表マスタ!$A:$B,2,FALSE)&amp;"","")</f>
        <v>検像端末 点検表</v>
      </c>
      <c r="F21" s="5">
        <v>12</v>
      </c>
      <c r="G21" s="5"/>
      <c r="H21" s="5">
        <v>20</v>
      </c>
      <c r="I21" s="5" t="s">
        <v>208</v>
      </c>
      <c r="J21" s="5"/>
    </row>
  </sheetData>
  <autoFilter ref="A1:J1" xr:uid="{00000000-0009-0000-0000-000001000000}"/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.375" customWidth="1"/>
    <col min="2" max="2" width="10.25" customWidth="1"/>
    <col min="3" max="4" width="12.375" customWidth="1"/>
    <col min="5" max="5" width="10.25" customWidth="1"/>
    <col min="6" max="7" width="10" customWidth="1"/>
  </cols>
  <sheetData>
    <row r="1" spans="1:7" ht="21.95" customHeight="1" x14ac:dyDescent="0.15">
      <c r="A1" s="1" t="s">
        <v>13</v>
      </c>
      <c r="B1" s="2" t="s">
        <v>14</v>
      </c>
      <c r="C1" s="2" t="s">
        <v>245</v>
      </c>
      <c r="D1" s="2" t="s">
        <v>246</v>
      </c>
      <c r="E1" s="2" t="s">
        <v>204</v>
      </c>
      <c r="F1" s="2" t="s">
        <v>205</v>
      </c>
      <c r="G1" s="2" t="s">
        <v>20</v>
      </c>
    </row>
    <row r="2" spans="1:7" x14ac:dyDescent="0.15">
      <c r="A2" s="5" t="s">
        <v>30</v>
      </c>
      <c r="B2" s="5" t="s">
        <v>247</v>
      </c>
      <c r="C2" s="5" t="s">
        <v>248</v>
      </c>
      <c r="D2" s="5" t="s">
        <v>249</v>
      </c>
      <c r="E2" s="5">
        <v>1</v>
      </c>
      <c r="F2" s="5" t="s">
        <v>208</v>
      </c>
      <c r="G2" s="5"/>
    </row>
    <row r="3" spans="1:7" x14ac:dyDescent="0.15">
      <c r="A3" s="5" t="s">
        <v>95</v>
      </c>
      <c r="B3" s="5" t="s">
        <v>250</v>
      </c>
      <c r="C3" s="5" t="s">
        <v>251</v>
      </c>
      <c r="D3" s="5"/>
      <c r="E3" s="5">
        <v>2</v>
      </c>
      <c r="F3" s="5" t="s">
        <v>208</v>
      </c>
      <c r="G3" s="5"/>
    </row>
    <row r="4" spans="1:7" x14ac:dyDescent="0.15">
      <c r="A4" s="5" t="s">
        <v>83</v>
      </c>
      <c r="B4" s="5" t="s">
        <v>252</v>
      </c>
      <c r="C4" s="5" t="s">
        <v>253</v>
      </c>
      <c r="D4" s="5"/>
      <c r="E4" s="5">
        <v>3</v>
      </c>
      <c r="F4" s="5" t="s">
        <v>208</v>
      </c>
      <c r="G4" s="5"/>
    </row>
    <row r="5" spans="1:7" x14ac:dyDescent="0.15">
      <c r="A5" s="5" t="s">
        <v>181</v>
      </c>
      <c r="B5" s="5" t="s">
        <v>254</v>
      </c>
      <c r="C5" s="5" t="s">
        <v>255</v>
      </c>
      <c r="D5" s="5"/>
      <c r="E5" s="5">
        <v>4</v>
      </c>
      <c r="F5" s="5" t="s">
        <v>208</v>
      </c>
      <c r="G5" s="5"/>
    </row>
    <row r="6" spans="1:7" x14ac:dyDescent="0.15">
      <c r="A6" s="5" t="s">
        <v>135</v>
      </c>
      <c r="B6" s="5" t="s">
        <v>256</v>
      </c>
      <c r="C6" s="5" t="s">
        <v>257</v>
      </c>
      <c r="D6" s="5" t="s">
        <v>258</v>
      </c>
      <c r="E6" s="5">
        <v>5</v>
      </c>
      <c r="F6" s="5" t="s">
        <v>208</v>
      </c>
      <c r="G6" s="5"/>
    </row>
    <row r="7" spans="1:7" x14ac:dyDescent="0.15">
      <c r="A7" s="5" t="s">
        <v>259</v>
      </c>
      <c r="B7" s="5" t="s">
        <v>260</v>
      </c>
      <c r="C7" s="5" t="s">
        <v>261</v>
      </c>
      <c r="D7" s="5"/>
      <c r="E7" s="5">
        <v>6</v>
      </c>
      <c r="F7" s="5" t="s">
        <v>208</v>
      </c>
      <c r="G7" s="5"/>
    </row>
    <row r="8" spans="1:7" x14ac:dyDescent="0.15">
      <c r="A8" s="5" t="s">
        <v>262</v>
      </c>
      <c r="B8" s="5" t="s">
        <v>263</v>
      </c>
      <c r="C8" s="5" t="s">
        <v>264</v>
      </c>
      <c r="D8" s="5"/>
      <c r="E8" s="5">
        <v>7</v>
      </c>
      <c r="F8" s="5" t="s">
        <v>208</v>
      </c>
      <c r="G8" s="5"/>
    </row>
    <row r="9" spans="1:7" x14ac:dyDescent="0.15">
      <c r="A9" s="5" t="s">
        <v>265</v>
      </c>
      <c r="B9" s="5" t="s">
        <v>266</v>
      </c>
      <c r="C9" s="5" t="s">
        <v>267</v>
      </c>
      <c r="D9" s="5"/>
      <c r="E9" s="5">
        <v>8</v>
      </c>
      <c r="F9" s="5" t="s">
        <v>208</v>
      </c>
      <c r="G9" s="5"/>
    </row>
    <row r="10" spans="1:7" x14ac:dyDescent="0.15">
      <c r="A10" s="5" t="s">
        <v>268</v>
      </c>
      <c r="B10" s="5" t="s">
        <v>269</v>
      </c>
      <c r="C10" s="5" t="s">
        <v>270</v>
      </c>
      <c r="D10" s="5"/>
      <c r="E10" s="5">
        <v>9</v>
      </c>
      <c r="F10" s="5" t="s">
        <v>208</v>
      </c>
      <c r="G10" s="5"/>
    </row>
    <row r="11" spans="1:7" x14ac:dyDescent="0.15">
      <c r="A11" s="5" t="s">
        <v>271</v>
      </c>
      <c r="B11" s="5" t="s">
        <v>272</v>
      </c>
      <c r="C11" s="5" t="s">
        <v>273</v>
      </c>
      <c r="D11" s="5"/>
      <c r="E11" s="5">
        <v>10</v>
      </c>
      <c r="F11" s="5" t="s">
        <v>208</v>
      </c>
      <c r="G11" s="5"/>
    </row>
    <row r="12" spans="1:7" x14ac:dyDescent="0.15">
      <c r="A12" s="5" t="s">
        <v>274</v>
      </c>
      <c r="B12" s="5" t="s">
        <v>275</v>
      </c>
      <c r="C12" s="5" t="s">
        <v>249</v>
      </c>
      <c r="D12" s="5" t="s">
        <v>253</v>
      </c>
      <c r="E12" s="5">
        <v>11</v>
      </c>
      <c r="F12" s="5" t="s">
        <v>208</v>
      </c>
      <c r="G12" s="5"/>
    </row>
  </sheetData>
  <autoFilter ref="A1:G1" xr:uid="{00000000-0009-0000-0000-000002000000}"/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6.625" customWidth="1"/>
    <col min="2" max="2" width="14.5" customWidth="1"/>
    <col min="3" max="3" width="12.375" customWidth="1"/>
    <col min="4" max="4" width="10.25" customWidth="1"/>
    <col min="5" max="5" width="10" customWidth="1"/>
    <col min="6" max="6" width="10.25" customWidth="1"/>
    <col min="7" max="8" width="10" customWidth="1"/>
  </cols>
  <sheetData>
    <row r="1" spans="1:8" ht="21.95" customHeight="1" x14ac:dyDescent="0.15">
      <c r="A1" s="1" t="s">
        <v>15</v>
      </c>
      <c r="B1" s="2" t="s">
        <v>16</v>
      </c>
      <c r="C1" s="3" t="s">
        <v>13</v>
      </c>
      <c r="D1" s="4" t="s">
        <v>14</v>
      </c>
      <c r="E1" s="2" t="s">
        <v>17</v>
      </c>
      <c r="F1" s="2" t="s">
        <v>204</v>
      </c>
      <c r="G1" s="2" t="s">
        <v>205</v>
      </c>
      <c r="H1" s="2" t="s">
        <v>20</v>
      </c>
    </row>
    <row r="2" spans="1:8" x14ac:dyDescent="0.15">
      <c r="A2" s="5" t="s">
        <v>276</v>
      </c>
      <c r="B2" s="5" t="s">
        <v>277</v>
      </c>
      <c r="C2" s="5" t="s">
        <v>30</v>
      </c>
      <c r="D2" s="5" t="str">
        <f>IFERROR(VLOOKUP($C2,部署マスタ!$A:$B,2,FALSE)&amp;"","")</f>
        <v>理学診療部</v>
      </c>
      <c r="E2" s="5" t="s">
        <v>278</v>
      </c>
      <c r="F2" s="5">
        <v>1</v>
      </c>
      <c r="G2" s="5" t="s">
        <v>208</v>
      </c>
      <c r="H2" s="5"/>
    </row>
    <row r="3" spans="1:8" x14ac:dyDescent="0.15">
      <c r="A3" s="5" t="s">
        <v>279</v>
      </c>
      <c r="B3" s="5" t="s">
        <v>280</v>
      </c>
      <c r="C3" s="5" t="s">
        <v>30</v>
      </c>
      <c r="D3" s="5" t="str">
        <f>IFERROR(VLOOKUP($C3,部署マスタ!$A:$B,2,FALSE)&amp;"","")</f>
        <v>理学診療部</v>
      </c>
      <c r="E3" s="5" t="s">
        <v>281</v>
      </c>
      <c r="F3" s="5">
        <v>2</v>
      </c>
      <c r="G3" s="5" t="s">
        <v>208</v>
      </c>
      <c r="H3" s="5"/>
    </row>
    <row r="4" spans="1:8" x14ac:dyDescent="0.15">
      <c r="A4" s="5" t="s">
        <v>119</v>
      </c>
      <c r="B4" s="5" t="s">
        <v>282</v>
      </c>
      <c r="C4" s="5" t="s">
        <v>30</v>
      </c>
      <c r="D4" s="5" t="str">
        <f>IFERROR(VLOOKUP($C4,部署マスタ!$A:$B,2,FALSE)&amp;"","")</f>
        <v>理学診療部</v>
      </c>
      <c r="E4" s="5" t="s">
        <v>283</v>
      </c>
      <c r="F4" s="5">
        <v>3</v>
      </c>
      <c r="G4" s="5" t="s">
        <v>208</v>
      </c>
      <c r="H4" s="5"/>
    </row>
    <row r="5" spans="1:8" x14ac:dyDescent="0.15">
      <c r="A5" s="5" t="s">
        <v>31</v>
      </c>
      <c r="B5" s="5" t="s">
        <v>282</v>
      </c>
      <c r="C5" s="5" t="s">
        <v>30</v>
      </c>
      <c r="D5" s="5" t="str">
        <f>IFERROR(VLOOKUP($C5,部署マスタ!$A:$B,2,FALSE)&amp;"","")</f>
        <v>理学診療部</v>
      </c>
      <c r="E5" s="5" t="s">
        <v>284</v>
      </c>
      <c r="F5" s="5">
        <v>4</v>
      </c>
      <c r="G5" s="5" t="s">
        <v>208</v>
      </c>
      <c r="H5" s="5"/>
    </row>
    <row r="6" spans="1:8" x14ac:dyDescent="0.15">
      <c r="A6" s="5" t="s">
        <v>136</v>
      </c>
      <c r="B6" s="5" t="s">
        <v>285</v>
      </c>
      <c r="C6" s="5" t="s">
        <v>135</v>
      </c>
      <c r="D6" s="5" t="str">
        <f>IFERROR(VLOOKUP($C6,部署マスタ!$A:$B,2,FALSE)&amp;"","")</f>
        <v>1F病棟</v>
      </c>
      <c r="E6" s="5" t="s">
        <v>281</v>
      </c>
      <c r="F6" s="5">
        <v>5</v>
      </c>
      <c r="G6" s="5" t="s">
        <v>208</v>
      </c>
      <c r="H6" s="5"/>
    </row>
    <row r="7" spans="1:8" x14ac:dyDescent="0.15">
      <c r="A7" s="5" t="s">
        <v>156</v>
      </c>
      <c r="B7" s="5" t="s">
        <v>286</v>
      </c>
      <c r="C7" s="5" t="s">
        <v>135</v>
      </c>
      <c r="D7" s="5" t="str">
        <f>IFERROR(VLOOKUP($C7,部署マスタ!$A:$B,2,FALSE)&amp;"","")</f>
        <v>1F病棟</v>
      </c>
      <c r="E7" s="5" t="s">
        <v>281</v>
      </c>
      <c r="F7" s="5">
        <v>6</v>
      </c>
      <c r="G7" s="5" t="s">
        <v>208</v>
      </c>
      <c r="H7" s="5"/>
    </row>
    <row r="8" spans="1:8" x14ac:dyDescent="0.15">
      <c r="A8" s="5" t="s">
        <v>287</v>
      </c>
      <c r="B8" s="5" t="s">
        <v>286</v>
      </c>
      <c r="C8" s="5" t="s">
        <v>95</v>
      </c>
      <c r="D8" s="5" t="str">
        <f>IFERROR(VLOOKUP($C8,部署マスタ!$A:$B,2,FALSE)&amp;"","")</f>
        <v>外来看護部</v>
      </c>
      <c r="E8" s="5" t="s">
        <v>283</v>
      </c>
      <c r="F8" s="5">
        <v>7</v>
      </c>
      <c r="G8" s="5" t="s">
        <v>208</v>
      </c>
      <c r="H8" s="5"/>
    </row>
    <row r="9" spans="1:8" x14ac:dyDescent="0.15">
      <c r="A9" s="5" t="s">
        <v>288</v>
      </c>
      <c r="B9" s="5" t="s">
        <v>289</v>
      </c>
      <c r="C9" s="5" t="s">
        <v>259</v>
      </c>
      <c r="D9" s="5" t="str">
        <f>IFERROR(VLOOKUP($C9,部署マスタ!$A:$B,2,FALSE)&amp;"","")</f>
        <v>3F回復期病棟</v>
      </c>
      <c r="E9" s="5" t="s">
        <v>281</v>
      </c>
      <c r="F9" s="5">
        <v>8</v>
      </c>
      <c r="G9" s="5" t="s">
        <v>208</v>
      </c>
      <c r="H9" s="5"/>
    </row>
    <row r="10" spans="1:8" x14ac:dyDescent="0.15">
      <c r="A10" s="5" t="s">
        <v>290</v>
      </c>
      <c r="B10" s="5" t="s">
        <v>286</v>
      </c>
      <c r="C10" s="5" t="s">
        <v>95</v>
      </c>
      <c r="D10" s="5" t="str">
        <f>IFERROR(VLOOKUP($C10,部署マスタ!$A:$B,2,FALSE)&amp;"","")</f>
        <v>外来看護部</v>
      </c>
      <c r="E10" s="5" t="s">
        <v>278</v>
      </c>
      <c r="F10" s="5">
        <v>9</v>
      </c>
      <c r="G10" s="5" t="s">
        <v>208</v>
      </c>
      <c r="H10" s="5"/>
    </row>
    <row r="11" spans="1:8" x14ac:dyDescent="0.15">
      <c r="A11" s="5" t="s">
        <v>291</v>
      </c>
      <c r="B11" s="5" t="s">
        <v>292</v>
      </c>
      <c r="C11" s="5" t="s">
        <v>83</v>
      </c>
      <c r="D11" s="5" t="str">
        <f>IFERROR(VLOOKUP($C11,部署マスタ!$A:$B,2,FALSE)&amp;"","")</f>
        <v>画像検査部</v>
      </c>
      <c r="E11" s="5" t="s">
        <v>278</v>
      </c>
      <c r="F11" s="5">
        <v>10</v>
      </c>
      <c r="G11" s="5" t="s">
        <v>208</v>
      </c>
      <c r="H11" s="5"/>
    </row>
    <row r="12" spans="1:8" x14ac:dyDescent="0.15">
      <c r="A12" s="5" t="s">
        <v>293</v>
      </c>
      <c r="B12" s="5" t="s">
        <v>294</v>
      </c>
      <c r="C12" s="5" t="s">
        <v>83</v>
      </c>
      <c r="D12" s="5" t="str">
        <f>IFERROR(VLOOKUP($C12,部署マスタ!$A:$B,2,FALSE)&amp;"","")</f>
        <v>画像検査部</v>
      </c>
      <c r="E12" s="5" t="s">
        <v>281</v>
      </c>
      <c r="F12" s="5">
        <v>11</v>
      </c>
      <c r="G12" s="5" t="s">
        <v>208</v>
      </c>
      <c r="H12" s="5"/>
    </row>
    <row r="13" spans="1:8" x14ac:dyDescent="0.15">
      <c r="A13" s="5" t="s">
        <v>84</v>
      </c>
      <c r="B13" s="5" t="s">
        <v>295</v>
      </c>
      <c r="C13" s="5" t="s">
        <v>83</v>
      </c>
      <c r="D13" s="5" t="str">
        <f>IFERROR(VLOOKUP($C13,部署マスタ!$A:$B,2,FALSE)&amp;"","")</f>
        <v>画像検査部</v>
      </c>
      <c r="E13" s="5" t="s">
        <v>284</v>
      </c>
      <c r="F13" s="5">
        <v>12</v>
      </c>
      <c r="G13" s="5" t="s">
        <v>208</v>
      </c>
      <c r="H13" s="5"/>
    </row>
    <row r="14" spans="1:8" x14ac:dyDescent="0.15">
      <c r="A14" s="5" t="s">
        <v>296</v>
      </c>
      <c r="B14" s="5" t="s">
        <v>295</v>
      </c>
      <c r="C14" s="5" t="s">
        <v>83</v>
      </c>
      <c r="D14" s="5" t="str">
        <f>IFERROR(VLOOKUP($C14,部署マスタ!$A:$B,2,FALSE)&amp;"","")</f>
        <v>画像検査部</v>
      </c>
      <c r="E14" s="5" t="s">
        <v>278</v>
      </c>
      <c r="F14" s="5">
        <v>13</v>
      </c>
      <c r="G14" s="5" t="s">
        <v>208</v>
      </c>
      <c r="H14" s="5"/>
    </row>
    <row r="15" spans="1:8" x14ac:dyDescent="0.15">
      <c r="A15" s="5" t="s">
        <v>297</v>
      </c>
      <c r="B15" s="5" t="s">
        <v>298</v>
      </c>
      <c r="C15" s="5" t="s">
        <v>83</v>
      </c>
      <c r="D15" s="5" t="str">
        <f>IFERROR(VLOOKUP($C15,部署マスタ!$A:$B,2,FALSE)&amp;"","")</f>
        <v>画像検査部</v>
      </c>
      <c r="E15" s="5" t="s">
        <v>278</v>
      </c>
      <c r="F15" s="5">
        <v>14</v>
      </c>
      <c r="G15" s="5" t="s">
        <v>208</v>
      </c>
      <c r="H15" s="5"/>
    </row>
    <row r="16" spans="1:8" x14ac:dyDescent="0.15">
      <c r="A16" s="5" t="s">
        <v>96</v>
      </c>
      <c r="B16" s="5" t="s">
        <v>299</v>
      </c>
      <c r="C16" s="5" t="s">
        <v>95</v>
      </c>
      <c r="D16" s="5" t="str">
        <f>IFERROR(VLOOKUP($C16,部署マスタ!$A:$B,2,FALSE)&amp;"","")</f>
        <v>外来看護部</v>
      </c>
      <c r="E16" s="5" t="s">
        <v>284</v>
      </c>
      <c r="F16" s="5">
        <v>15</v>
      </c>
      <c r="G16" s="5" t="s">
        <v>208</v>
      </c>
      <c r="H16" s="5"/>
    </row>
    <row r="17" spans="1:8" x14ac:dyDescent="0.15">
      <c r="A17" s="5" t="s">
        <v>300</v>
      </c>
      <c r="B17" s="5" t="s">
        <v>263</v>
      </c>
      <c r="C17" s="5" t="s">
        <v>262</v>
      </c>
      <c r="D17" s="5" t="str">
        <f>IFERROR(VLOOKUP($C17,部署マスタ!$A:$B,2,FALSE)&amp;"","")</f>
        <v>総務部</v>
      </c>
      <c r="E17" s="5" t="s">
        <v>281</v>
      </c>
      <c r="F17" s="5">
        <v>16</v>
      </c>
      <c r="G17" s="5" t="s">
        <v>208</v>
      </c>
      <c r="H17" s="5"/>
    </row>
    <row r="18" spans="1:8" x14ac:dyDescent="0.15">
      <c r="A18" s="5" t="s">
        <v>164</v>
      </c>
      <c r="B18" s="5" t="s">
        <v>301</v>
      </c>
      <c r="C18" s="5" t="s">
        <v>83</v>
      </c>
      <c r="D18" s="5" t="str">
        <f>IFERROR(VLOOKUP($C18,部署マスタ!$A:$B,2,FALSE)&amp;"","")</f>
        <v>画像検査部</v>
      </c>
      <c r="E18" s="5" t="s">
        <v>284</v>
      </c>
      <c r="F18" s="5">
        <v>17</v>
      </c>
      <c r="G18" s="5" t="s">
        <v>208</v>
      </c>
      <c r="H18" s="5"/>
    </row>
    <row r="19" spans="1:8" x14ac:dyDescent="0.15">
      <c r="A19" s="5" t="s">
        <v>182</v>
      </c>
      <c r="B19" s="5" t="s">
        <v>302</v>
      </c>
      <c r="C19" s="5" t="s">
        <v>181</v>
      </c>
      <c r="D19" s="5" t="str">
        <f>IFERROR(VLOOKUP($C19,部署マスタ!$A:$B,2,FALSE)&amp;"","")</f>
        <v>臨床検査部</v>
      </c>
      <c r="E19" s="5" t="s">
        <v>278</v>
      </c>
      <c r="F19" s="5">
        <v>18</v>
      </c>
      <c r="G19" s="5" t="s">
        <v>208</v>
      </c>
      <c r="H19" s="5"/>
    </row>
    <row r="20" spans="1:8" x14ac:dyDescent="0.15">
      <c r="A20" s="5" t="s">
        <v>145</v>
      </c>
      <c r="B20" s="5" t="s">
        <v>303</v>
      </c>
      <c r="C20" s="5" t="s">
        <v>83</v>
      </c>
      <c r="D20" s="5" t="str">
        <f>IFERROR(VLOOKUP($C20,部署マスタ!$A:$B,2,FALSE)&amp;"","")</f>
        <v>画像検査部</v>
      </c>
      <c r="E20" s="5" t="s">
        <v>284</v>
      </c>
      <c r="F20" s="5">
        <v>19</v>
      </c>
      <c r="G20" s="5" t="s">
        <v>208</v>
      </c>
      <c r="H20" s="5"/>
    </row>
    <row r="21" spans="1:8" x14ac:dyDescent="0.15">
      <c r="A21" s="5" t="s">
        <v>111</v>
      </c>
      <c r="B21" s="5" t="s">
        <v>286</v>
      </c>
      <c r="C21" s="5" t="s">
        <v>95</v>
      </c>
      <c r="D21" s="5" t="str">
        <f>IFERROR(VLOOKUP($C21,部署マスタ!$A:$B,2,FALSE)&amp;"","")</f>
        <v>外来看護部</v>
      </c>
      <c r="E21" s="5" t="s">
        <v>284</v>
      </c>
      <c r="F21" s="5">
        <v>20</v>
      </c>
      <c r="G21" s="5" t="s">
        <v>208</v>
      </c>
      <c r="H21" s="5"/>
    </row>
  </sheetData>
  <autoFilter ref="A1:H1" xr:uid="{00000000-0009-0000-0000-000003000000}"/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6.625" customWidth="1"/>
    <col min="2" max="2" width="14.5" customWidth="1"/>
    <col min="3" max="3" width="12.375" customWidth="1"/>
    <col min="4" max="4" width="10.25" customWidth="1"/>
    <col min="5" max="5" width="18.75" customWidth="1"/>
    <col min="6" max="6" width="16.625" customWidth="1"/>
    <col min="7" max="7" width="10.25" customWidth="1"/>
    <col min="8" max="9" width="10" customWidth="1"/>
  </cols>
  <sheetData>
    <row r="1" spans="1:9" ht="21.95" customHeight="1" x14ac:dyDescent="0.15">
      <c r="A1" s="1" t="s">
        <v>4</v>
      </c>
      <c r="B1" s="2" t="s">
        <v>5</v>
      </c>
      <c r="C1" s="2" t="s">
        <v>304</v>
      </c>
      <c r="D1" s="2" t="s">
        <v>305</v>
      </c>
      <c r="E1" s="2" t="s">
        <v>306</v>
      </c>
      <c r="F1" s="2" t="s">
        <v>307</v>
      </c>
      <c r="G1" s="2" t="s">
        <v>204</v>
      </c>
      <c r="H1" s="2" t="s">
        <v>205</v>
      </c>
      <c r="I1" s="2" t="s">
        <v>20</v>
      </c>
    </row>
    <row r="2" spans="1:9" x14ac:dyDescent="0.15">
      <c r="A2" s="5" t="s">
        <v>108</v>
      </c>
      <c r="B2" s="5" t="s">
        <v>308</v>
      </c>
      <c r="C2" s="5" t="s">
        <v>309</v>
      </c>
      <c r="D2" s="5" t="s">
        <v>310</v>
      </c>
      <c r="E2" s="5" t="s">
        <v>311</v>
      </c>
      <c r="F2" s="5" t="s">
        <v>312</v>
      </c>
      <c r="G2" s="5">
        <v>1</v>
      </c>
      <c r="H2" s="5" t="s">
        <v>208</v>
      </c>
      <c r="I2" s="5"/>
    </row>
    <row r="3" spans="1:9" x14ac:dyDescent="0.15">
      <c r="A3" s="5" t="s">
        <v>38</v>
      </c>
      <c r="B3" s="5" t="s">
        <v>313</v>
      </c>
      <c r="C3" s="5" t="s">
        <v>314</v>
      </c>
      <c r="D3" s="5" t="s">
        <v>315</v>
      </c>
      <c r="E3" s="5" t="s">
        <v>316</v>
      </c>
      <c r="F3" s="5" t="s">
        <v>317</v>
      </c>
      <c r="G3" s="5">
        <v>2</v>
      </c>
      <c r="H3" s="5" t="s">
        <v>208</v>
      </c>
      <c r="I3" s="5"/>
    </row>
    <row r="4" spans="1:9" x14ac:dyDescent="0.15">
      <c r="A4" s="5" t="s">
        <v>318</v>
      </c>
      <c r="B4" s="5" t="s">
        <v>319</v>
      </c>
      <c r="C4" s="5" t="s">
        <v>320</v>
      </c>
      <c r="D4" s="5"/>
      <c r="E4" s="5" t="s">
        <v>321</v>
      </c>
      <c r="F4" s="5" t="s">
        <v>322</v>
      </c>
      <c r="G4" s="5">
        <v>3</v>
      </c>
      <c r="H4" s="5" t="s">
        <v>208</v>
      </c>
      <c r="I4" s="5"/>
    </row>
    <row r="5" spans="1:9" x14ac:dyDescent="0.15">
      <c r="A5" s="5" t="s">
        <v>161</v>
      </c>
      <c r="B5" s="5" t="s">
        <v>323</v>
      </c>
      <c r="C5" s="5" t="s">
        <v>324</v>
      </c>
      <c r="D5" s="5" t="s">
        <v>325</v>
      </c>
      <c r="E5" s="5" t="s">
        <v>326</v>
      </c>
      <c r="F5" s="5" t="s">
        <v>327</v>
      </c>
      <c r="G5" s="5">
        <v>4</v>
      </c>
      <c r="H5" s="5" t="s">
        <v>208</v>
      </c>
      <c r="I5" s="5"/>
    </row>
    <row r="6" spans="1:9" x14ac:dyDescent="0.15">
      <c r="A6" s="5" t="s">
        <v>169</v>
      </c>
      <c r="B6" s="5" t="s">
        <v>328</v>
      </c>
      <c r="C6" s="5" t="s">
        <v>329</v>
      </c>
      <c r="D6" s="5" t="s">
        <v>330</v>
      </c>
      <c r="E6" s="5" t="s">
        <v>331</v>
      </c>
      <c r="F6" s="5" t="s">
        <v>332</v>
      </c>
      <c r="G6" s="5">
        <v>5</v>
      </c>
      <c r="H6" s="5" t="s">
        <v>208</v>
      </c>
      <c r="I6" s="5"/>
    </row>
    <row r="7" spans="1:9" x14ac:dyDescent="0.15">
      <c r="A7" s="5" t="s">
        <v>90</v>
      </c>
      <c r="B7" s="5" t="s">
        <v>333</v>
      </c>
      <c r="C7" s="5" t="s">
        <v>334</v>
      </c>
      <c r="D7" s="5" t="s">
        <v>335</v>
      </c>
      <c r="E7" s="5" t="s">
        <v>336</v>
      </c>
      <c r="F7" s="5" t="s">
        <v>337</v>
      </c>
      <c r="G7" s="5">
        <v>6</v>
      </c>
      <c r="H7" s="5" t="s">
        <v>208</v>
      </c>
      <c r="I7" s="5"/>
    </row>
    <row r="8" spans="1:9" x14ac:dyDescent="0.15">
      <c r="A8" s="5" t="s">
        <v>152</v>
      </c>
      <c r="B8" s="5" t="s">
        <v>338</v>
      </c>
      <c r="C8" s="5" t="s">
        <v>339</v>
      </c>
      <c r="D8" s="5"/>
      <c r="E8" s="5" t="s">
        <v>340</v>
      </c>
      <c r="F8" s="5" t="s">
        <v>341</v>
      </c>
      <c r="G8" s="5">
        <v>7</v>
      </c>
      <c r="H8" s="5" t="s">
        <v>208</v>
      </c>
      <c r="I8" s="5"/>
    </row>
    <row r="9" spans="1:9" x14ac:dyDescent="0.15">
      <c r="A9" s="5" t="s">
        <v>125</v>
      </c>
      <c r="B9" s="5" t="s">
        <v>342</v>
      </c>
      <c r="C9" s="5" t="s">
        <v>343</v>
      </c>
      <c r="D9" s="5" t="s">
        <v>344</v>
      </c>
      <c r="E9" s="5" t="s">
        <v>345</v>
      </c>
      <c r="F9" s="5" t="s">
        <v>346</v>
      </c>
      <c r="G9" s="5">
        <v>8</v>
      </c>
      <c r="H9" s="5" t="s">
        <v>208</v>
      </c>
      <c r="I9" s="5"/>
    </row>
    <row r="10" spans="1:9" x14ac:dyDescent="0.15">
      <c r="A10" s="5" t="s">
        <v>63</v>
      </c>
      <c r="B10" s="5" t="s">
        <v>347</v>
      </c>
      <c r="C10" s="5" t="s">
        <v>348</v>
      </c>
      <c r="D10" s="5"/>
      <c r="E10" s="5" t="s">
        <v>349</v>
      </c>
      <c r="F10" s="5" t="s">
        <v>350</v>
      </c>
      <c r="G10" s="5">
        <v>9</v>
      </c>
      <c r="H10" s="5" t="s">
        <v>208</v>
      </c>
      <c r="I10" s="5"/>
    </row>
    <row r="11" spans="1:9" x14ac:dyDescent="0.15">
      <c r="A11" s="5" t="s">
        <v>187</v>
      </c>
      <c r="B11" s="5" t="s">
        <v>351</v>
      </c>
      <c r="C11" s="5" t="s">
        <v>352</v>
      </c>
      <c r="D11" s="5" t="s">
        <v>353</v>
      </c>
      <c r="E11" s="5" t="s">
        <v>354</v>
      </c>
      <c r="F11" s="5" t="s">
        <v>355</v>
      </c>
      <c r="G11" s="5">
        <v>10</v>
      </c>
      <c r="H11" s="5" t="s">
        <v>208</v>
      </c>
      <c r="I11" s="5"/>
    </row>
    <row r="12" spans="1:9" x14ac:dyDescent="0.15">
      <c r="A12" s="5" t="s">
        <v>55</v>
      </c>
      <c r="B12" s="5" t="s">
        <v>356</v>
      </c>
      <c r="C12" s="5" t="s">
        <v>357</v>
      </c>
      <c r="D12" s="5"/>
      <c r="E12" s="5" t="s">
        <v>358</v>
      </c>
      <c r="F12" s="5" t="s">
        <v>359</v>
      </c>
      <c r="G12" s="5">
        <v>11</v>
      </c>
      <c r="H12" s="5" t="s">
        <v>208</v>
      </c>
      <c r="I12" s="5"/>
    </row>
    <row r="13" spans="1:9" x14ac:dyDescent="0.15">
      <c r="A13" s="5" t="s">
        <v>177</v>
      </c>
      <c r="B13" s="5" t="s">
        <v>360</v>
      </c>
      <c r="C13" s="5" t="s">
        <v>361</v>
      </c>
      <c r="D13" s="5" t="s">
        <v>362</v>
      </c>
      <c r="E13" s="5" t="s">
        <v>363</v>
      </c>
      <c r="F13" s="5" t="s">
        <v>364</v>
      </c>
      <c r="G13" s="5">
        <v>12</v>
      </c>
      <c r="H13" s="5" t="s">
        <v>208</v>
      </c>
      <c r="I13" s="5"/>
    </row>
    <row r="14" spans="1:9" x14ac:dyDescent="0.15">
      <c r="A14" s="5" t="s">
        <v>365</v>
      </c>
      <c r="B14" s="5" t="s">
        <v>366</v>
      </c>
      <c r="C14" s="5" t="s">
        <v>367</v>
      </c>
      <c r="D14" s="5" t="s">
        <v>368</v>
      </c>
      <c r="E14" s="5" t="s">
        <v>369</v>
      </c>
      <c r="F14" s="5" t="s">
        <v>370</v>
      </c>
      <c r="G14" s="5">
        <v>13</v>
      </c>
      <c r="H14" s="5" t="s">
        <v>208</v>
      </c>
      <c r="I14" s="5"/>
    </row>
    <row r="15" spans="1:9" x14ac:dyDescent="0.15">
      <c r="A15" s="5" t="s">
        <v>24</v>
      </c>
      <c r="B15" s="5" t="s">
        <v>371</v>
      </c>
      <c r="C15" s="5" t="s">
        <v>372</v>
      </c>
      <c r="D15" s="5" t="s">
        <v>310</v>
      </c>
      <c r="E15" s="5" t="s">
        <v>373</v>
      </c>
      <c r="F15" s="5" t="s">
        <v>374</v>
      </c>
      <c r="G15" s="5">
        <v>14</v>
      </c>
      <c r="H15" s="5" t="s">
        <v>208</v>
      </c>
      <c r="I15" s="5"/>
    </row>
    <row r="16" spans="1:9" x14ac:dyDescent="0.15">
      <c r="A16" s="5" t="s">
        <v>70</v>
      </c>
      <c r="B16" s="5" t="s">
        <v>375</v>
      </c>
      <c r="C16" s="5" t="s">
        <v>376</v>
      </c>
      <c r="D16" s="5"/>
      <c r="E16" s="5" t="s">
        <v>377</v>
      </c>
      <c r="F16" s="5" t="s">
        <v>378</v>
      </c>
      <c r="G16" s="5">
        <v>15</v>
      </c>
      <c r="H16" s="5" t="s">
        <v>208</v>
      </c>
      <c r="I16" s="5"/>
    </row>
    <row r="17" spans="1:9" x14ac:dyDescent="0.15">
      <c r="A17" s="5" t="s">
        <v>78</v>
      </c>
      <c r="B17" s="5" t="s">
        <v>379</v>
      </c>
      <c r="C17" s="5" t="s">
        <v>380</v>
      </c>
      <c r="D17" s="5" t="s">
        <v>381</v>
      </c>
      <c r="E17" s="5" t="s">
        <v>382</v>
      </c>
      <c r="F17" s="5" t="s">
        <v>383</v>
      </c>
      <c r="G17" s="5">
        <v>16</v>
      </c>
      <c r="H17" s="5" t="s">
        <v>208</v>
      </c>
      <c r="I17" s="5"/>
    </row>
    <row r="18" spans="1:9" x14ac:dyDescent="0.15">
      <c r="A18" s="5" t="s">
        <v>47</v>
      </c>
      <c r="B18" s="5" t="s">
        <v>384</v>
      </c>
      <c r="C18" s="5" t="s">
        <v>385</v>
      </c>
      <c r="D18" s="5"/>
      <c r="E18" s="5" t="s">
        <v>386</v>
      </c>
      <c r="F18" s="5" t="s">
        <v>387</v>
      </c>
      <c r="G18" s="5">
        <v>17</v>
      </c>
      <c r="H18" s="5" t="s">
        <v>208</v>
      </c>
      <c r="I18" s="5"/>
    </row>
    <row r="19" spans="1:9" x14ac:dyDescent="0.15">
      <c r="A19" s="5" t="s">
        <v>101</v>
      </c>
      <c r="B19" s="5" t="s">
        <v>388</v>
      </c>
      <c r="C19" s="5" t="s">
        <v>389</v>
      </c>
      <c r="D19" s="5"/>
      <c r="E19" s="5" t="s">
        <v>390</v>
      </c>
      <c r="F19" s="5" t="s">
        <v>391</v>
      </c>
      <c r="G19" s="5">
        <v>18</v>
      </c>
      <c r="H19" s="5" t="s">
        <v>208</v>
      </c>
      <c r="I19" s="5"/>
    </row>
    <row r="20" spans="1:9" x14ac:dyDescent="0.15">
      <c r="A20" s="5" t="s">
        <v>116</v>
      </c>
      <c r="B20" s="5" t="s">
        <v>392</v>
      </c>
      <c r="C20" s="5" t="s">
        <v>393</v>
      </c>
      <c r="D20" s="5"/>
      <c r="E20" s="5" t="s">
        <v>394</v>
      </c>
      <c r="F20" s="5" t="s">
        <v>395</v>
      </c>
      <c r="G20" s="5">
        <v>19</v>
      </c>
      <c r="H20" s="5" t="s">
        <v>208</v>
      </c>
      <c r="I20" s="5"/>
    </row>
    <row r="21" spans="1:9" x14ac:dyDescent="0.15">
      <c r="A21" s="5" t="s">
        <v>142</v>
      </c>
      <c r="B21" s="5" t="s">
        <v>396</v>
      </c>
      <c r="C21" s="5" t="s">
        <v>397</v>
      </c>
      <c r="D21" s="5" t="s">
        <v>398</v>
      </c>
      <c r="E21" s="5" t="s">
        <v>399</v>
      </c>
      <c r="F21" s="5" t="s">
        <v>400</v>
      </c>
      <c r="G21" s="5">
        <v>20</v>
      </c>
      <c r="H21" s="5" t="s">
        <v>208</v>
      </c>
      <c r="I21" s="5"/>
    </row>
  </sheetData>
  <autoFilter ref="A1:I1" xr:uid="{00000000-0009-0000-0000-000004000000}"/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.5" customWidth="1"/>
    <col min="2" max="2" width="12.375" customWidth="1"/>
    <col min="3" max="3" width="16.625" customWidth="1"/>
    <col min="4" max="4" width="12.375" customWidth="1"/>
    <col min="5" max="5" width="10.25" customWidth="1"/>
    <col min="6" max="7" width="10" customWidth="1"/>
  </cols>
  <sheetData>
    <row r="1" spans="1:7" ht="21.95" customHeight="1" x14ac:dyDescent="0.15">
      <c r="A1" s="1" t="s">
        <v>200</v>
      </c>
      <c r="B1" s="2" t="s">
        <v>201</v>
      </c>
      <c r="C1" s="3" t="s">
        <v>2</v>
      </c>
      <c r="D1" s="4" t="s">
        <v>401</v>
      </c>
      <c r="E1" s="2" t="s">
        <v>204</v>
      </c>
      <c r="F1" s="2" t="s">
        <v>205</v>
      </c>
      <c r="G1" s="2" t="s">
        <v>20</v>
      </c>
    </row>
    <row r="2" spans="1:7" x14ac:dyDescent="0.15">
      <c r="A2" s="5" t="s">
        <v>207</v>
      </c>
      <c r="B2" s="5" t="s">
        <v>402</v>
      </c>
      <c r="C2" s="5" t="s">
        <v>37</v>
      </c>
      <c r="D2" s="5" t="s">
        <v>403</v>
      </c>
      <c r="E2" s="5">
        <v>1</v>
      </c>
      <c r="F2" s="5" t="s">
        <v>208</v>
      </c>
      <c r="G2" s="5"/>
    </row>
    <row r="3" spans="1:7" x14ac:dyDescent="0.15">
      <c r="A3" s="5" t="s">
        <v>210</v>
      </c>
      <c r="B3" s="5" t="s">
        <v>404</v>
      </c>
      <c r="C3" s="5" t="s">
        <v>100</v>
      </c>
      <c r="D3" s="5" t="s">
        <v>403</v>
      </c>
      <c r="E3" s="5">
        <v>2</v>
      </c>
      <c r="F3" s="5" t="s">
        <v>208</v>
      </c>
      <c r="G3" s="5"/>
    </row>
    <row r="4" spans="1:7" x14ac:dyDescent="0.15">
      <c r="A4" s="5" t="s">
        <v>212</v>
      </c>
      <c r="B4" s="5" t="s">
        <v>405</v>
      </c>
      <c r="C4" s="5" t="s">
        <v>46</v>
      </c>
      <c r="D4" s="5" t="s">
        <v>403</v>
      </c>
      <c r="E4" s="5">
        <v>3</v>
      </c>
      <c r="F4" s="5" t="s">
        <v>208</v>
      </c>
      <c r="G4" s="5"/>
    </row>
    <row r="5" spans="1:7" x14ac:dyDescent="0.15">
      <c r="A5" s="5" t="s">
        <v>214</v>
      </c>
      <c r="B5" s="5" t="s">
        <v>406</v>
      </c>
      <c r="C5" s="5" t="s">
        <v>160</v>
      </c>
      <c r="D5" s="5" t="s">
        <v>407</v>
      </c>
      <c r="E5" s="5">
        <v>4</v>
      </c>
      <c r="F5" s="5" t="s">
        <v>208</v>
      </c>
      <c r="G5" s="5" t="s">
        <v>408</v>
      </c>
    </row>
    <row r="6" spans="1:7" x14ac:dyDescent="0.15">
      <c r="A6" s="5" t="s">
        <v>215</v>
      </c>
      <c r="B6" s="5" t="s">
        <v>409</v>
      </c>
      <c r="C6" s="5" t="s">
        <v>124</v>
      </c>
      <c r="D6" s="5" t="s">
        <v>403</v>
      </c>
      <c r="E6" s="5">
        <v>5</v>
      </c>
      <c r="F6" s="5" t="s">
        <v>208</v>
      </c>
      <c r="G6" s="5"/>
    </row>
    <row r="7" spans="1:7" x14ac:dyDescent="0.15">
      <c r="A7" s="5" t="s">
        <v>217</v>
      </c>
      <c r="B7" s="5" t="s">
        <v>410</v>
      </c>
      <c r="C7" s="5" t="s">
        <v>186</v>
      </c>
      <c r="D7" s="5" t="s">
        <v>407</v>
      </c>
      <c r="E7" s="5">
        <v>6</v>
      </c>
      <c r="F7" s="5" t="s">
        <v>208</v>
      </c>
      <c r="G7" s="5" t="s">
        <v>408</v>
      </c>
    </row>
    <row r="8" spans="1:7" x14ac:dyDescent="0.15">
      <c r="A8" s="5" t="s">
        <v>219</v>
      </c>
      <c r="B8" s="5" t="s">
        <v>411</v>
      </c>
      <c r="C8" s="5" t="s">
        <v>131</v>
      </c>
      <c r="D8" s="5" t="s">
        <v>403</v>
      </c>
      <c r="E8" s="5">
        <v>7</v>
      </c>
      <c r="F8" s="5" t="s">
        <v>208</v>
      </c>
      <c r="G8" s="5"/>
    </row>
    <row r="9" spans="1:7" x14ac:dyDescent="0.15">
      <c r="A9" s="5" t="s">
        <v>221</v>
      </c>
      <c r="B9" s="5" t="s">
        <v>412</v>
      </c>
      <c r="C9" s="5" t="s">
        <v>54</v>
      </c>
      <c r="D9" s="5" t="s">
        <v>403</v>
      </c>
      <c r="E9" s="5">
        <v>8</v>
      </c>
      <c r="F9" s="5" t="s">
        <v>208</v>
      </c>
      <c r="G9" s="5"/>
    </row>
    <row r="10" spans="1:7" x14ac:dyDescent="0.15">
      <c r="A10" s="5" t="s">
        <v>222</v>
      </c>
      <c r="B10" s="5" t="s">
        <v>413</v>
      </c>
      <c r="C10" s="5" t="s">
        <v>151</v>
      </c>
      <c r="D10" s="5" t="s">
        <v>403</v>
      </c>
      <c r="E10" s="5">
        <v>9</v>
      </c>
      <c r="F10" s="5" t="s">
        <v>208</v>
      </c>
      <c r="G10" s="5"/>
    </row>
    <row r="11" spans="1:7" x14ac:dyDescent="0.15">
      <c r="A11" s="5" t="s">
        <v>224</v>
      </c>
      <c r="B11" s="5" t="s">
        <v>414</v>
      </c>
      <c r="C11" s="5" t="s">
        <v>62</v>
      </c>
      <c r="D11" s="5" t="s">
        <v>403</v>
      </c>
      <c r="E11" s="5">
        <v>10</v>
      </c>
      <c r="F11" s="5" t="s">
        <v>208</v>
      </c>
      <c r="G11" s="5"/>
    </row>
    <row r="12" spans="1:7" x14ac:dyDescent="0.15">
      <c r="A12" s="5" t="s">
        <v>226</v>
      </c>
      <c r="B12" s="5" t="s">
        <v>415</v>
      </c>
      <c r="C12" s="5" t="s">
        <v>77</v>
      </c>
      <c r="D12" s="5" t="s">
        <v>407</v>
      </c>
      <c r="E12" s="5">
        <v>11</v>
      </c>
      <c r="F12" s="5" t="s">
        <v>208</v>
      </c>
      <c r="G12" s="5" t="s">
        <v>408</v>
      </c>
    </row>
    <row r="13" spans="1:7" x14ac:dyDescent="0.15">
      <c r="A13" s="5" t="s">
        <v>228</v>
      </c>
      <c r="B13" s="5" t="s">
        <v>416</v>
      </c>
      <c r="C13" s="5" t="s">
        <v>69</v>
      </c>
      <c r="D13" s="5" t="s">
        <v>403</v>
      </c>
      <c r="E13" s="5">
        <v>12</v>
      </c>
      <c r="F13" s="5" t="s">
        <v>208</v>
      </c>
      <c r="G13" s="5"/>
    </row>
    <row r="14" spans="1:7" x14ac:dyDescent="0.15">
      <c r="A14" s="5" t="s">
        <v>230</v>
      </c>
      <c r="B14" s="5" t="s">
        <v>417</v>
      </c>
      <c r="C14" s="5" t="s">
        <v>168</v>
      </c>
      <c r="D14" s="5" t="s">
        <v>403</v>
      </c>
      <c r="E14" s="5">
        <v>13</v>
      </c>
      <c r="F14" s="5" t="s">
        <v>208</v>
      </c>
      <c r="G14" s="5"/>
    </row>
    <row r="15" spans="1:7" x14ac:dyDescent="0.15">
      <c r="A15" s="5" t="s">
        <v>232</v>
      </c>
      <c r="B15" s="5" t="s">
        <v>418</v>
      </c>
      <c r="C15" s="5" t="s">
        <v>176</v>
      </c>
      <c r="D15" s="5" t="s">
        <v>407</v>
      </c>
      <c r="E15" s="5">
        <v>14</v>
      </c>
      <c r="F15" s="5" t="s">
        <v>208</v>
      </c>
      <c r="G15" s="5" t="s">
        <v>408</v>
      </c>
    </row>
    <row r="16" spans="1:7" x14ac:dyDescent="0.15">
      <c r="A16" s="5" t="s">
        <v>234</v>
      </c>
      <c r="B16" s="5" t="s">
        <v>419</v>
      </c>
      <c r="C16" s="5" t="s">
        <v>23</v>
      </c>
      <c r="D16" s="5" t="s">
        <v>403</v>
      </c>
      <c r="E16" s="5">
        <v>15</v>
      </c>
      <c r="F16" s="5" t="s">
        <v>208</v>
      </c>
      <c r="G16" s="5"/>
    </row>
    <row r="17" spans="1:7" x14ac:dyDescent="0.15">
      <c r="A17" s="5" t="s">
        <v>236</v>
      </c>
      <c r="B17" s="5" t="s">
        <v>420</v>
      </c>
      <c r="C17" s="5" t="s">
        <v>107</v>
      </c>
      <c r="D17" s="5" t="s">
        <v>403</v>
      </c>
      <c r="E17" s="5">
        <v>16</v>
      </c>
      <c r="F17" s="5" t="s">
        <v>208</v>
      </c>
      <c r="G17" s="5"/>
    </row>
    <row r="18" spans="1:7" x14ac:dyDescent="0.15">
      <c r="A18" s="5" t="s">
        <v>238</v>
      </c>
      <c r="B18" s="5" t="s">
        <v>421</v>
      </c>
      <c r="C18" s="5" t="s">
        <v>194</v>
      </c>
      <c r="D18" s="5" t="s">
        <v>407</v>
      </c>
      <c r="E18" s="5">
        <v>17</v>
      </c>
      <c r="F18" s="5" t="s">
        <v>208</v>
      </c>
      <c r="G18" s="5" t="s">
        <v>408</v>
      </c>
    </row>
    <row r="19" spans="1:7" x14ac:dyDescent="0.15">
      <c r="A19" s="5" t="s">
        <v>240</v>
      </c>
      <c r="B19" s="5" t="s">
        <v>422</v>
      </c>
      <c r="C19" s="5" t="s">
        <v>115</v>
      </c>
      <c r="D19" s="5" t="s">
        <v>403</v>
      </c>
      <c r="E19" s="5">
        <v>18</v>
      </c>
      <c r="F19" s="5" t="s">
        <v>208</v>
      </c>
      <c r="G19" s="5"/>
    </row>
    <row r="20" spans="1:7" x14ac:dyDescent="0.15">
      <c r="A20" s="5" t="s">
        <v>242</v>
      </c>
      <c r="B20" s="5" t="s">
        <v>423</v>
      </c>
      <c r="C20" s="5" t="s">
        <v>89</v>
      </c>
      <c r="D20" s="5" t="s">
        <v>403</v>
      </c>
      <c r="E20" s="5">
        <v>19</v>
      </c>
      <c r="F20" s="5" t="s">
        <v>208</v>
      </c>
      <c r="G20" s="5"/>
    </row>
    <row r="21" spans="1:7" x14ac:dyDescent="0.15">
      <c r="A21" s="5" t="s">
        <v>244</v>
      </c>
      <c r="B21" s="5" t="s">
        <v>424</v>
      </c>
      <c r="C21" s="5" t="s">
        <v>141</v>
      </c>
      <c r="D21" s="5" t="s">
        <v>403</v>
      </c>
      <c r="E21" s="5">
        <v>20</v>
      </c>
      <c r="F21" s="5" t="s">
        <v>208</v>
      </c>
      <c r="G21" s="5"/>
    </row>
  </sheetData>
  <autoFilter ref="A1:G1" xr:uid="{00000000-0009-0000-0000-000005000000}"/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6.625" customWidth="1"/>
    <col min="2" max="2" width="14.5" customWidth="1"/>
    <col min="3" max="3" width="12.375" customWidth="1"/>
    <col min="4" max="5" width="10.25" customWidth="1"/>
    <col min="6" max="6" width="12.375" customWidth="1"/>
    <col min="7" max="8" width="10" customWidth="1"/>
  </cols>
  <sheetData>
    <row r="1" spans="1:8" ht="21.95" customHeight="1" x14ac:dyDescent="0.15">
      <c r="A1" s="1" t="s">
        <v>425</v>
      </c>
      <c r="B1" s="3" t="s">
        <v>200</v>
      </c>
      <c r="C1" s="4" t="s">
        <v>201</v>
      </c>
      <c r="D1" s="2" t="s">
        <v>204</v>
      </c>
      <c r="E1" s="2" t="s">
        <v>426</v>
      </c>
      <c r="F1" s="2" t="s">
        <v>427</v>
      </c>
      <c r="G1" s="2" t="s">
        <v>428</v>
      </c>
      <c r="H1" s="2" t="s">
        <v>20</v>
      </c>
    </row>
    <row r="2" spans="1:8" x14ac:dyDescent="0.15">
      <c r="A2" s="5" t="s">
        <v>429</v>
      </c>
      <c r="B2" s="5" t="s">
        <v>234</v>
      </c>
      <c r="C2" s="5" t="str">
        <f>IFERROR(VLOOKUP($B2,点検表マスタ!$A:$B,2,FALSE)&amp;"","")</f>
        <v>高周波 点検表</v>
      </c>
      <c r="D2" s="5">
        <v>1</v>
      </c>
      <c r="E2" s="5" t="s">
        <v>430</v>
      </c>
      <c r="F2" s="5" t="s">
        <v>431</v>
      </c>
      <c r="G2" s="5" t="s">
        <v>208</v>
      </c>
      <c r="H2" s="5"/>
    </row>
    <row r="3" spans="1:8" x14ac:dyDescent="0.15">
      <c r="A3" s="5" t="s">
        <v>432</v>
      </c>
      <c r="B3" s="5" t="s">
        <v>234</v>
      </c>
      <c r="C3" s="5" t="str">
        <f>IFERROR(VLOOKUP($B3,点検表マスタ!$A:$B,2,FALSE)&amp;"","")</f>
        <v>高周波 点検表</v>
      </c>
      <c r="D3" s="5">
        <v>2</v>
      </c>
      <c r="E3" s="5" t="s">
        <v>433</v>
      </c>
      <c r="F3" s="5" t="s">
        <v>431</v>
      </c>
      <c r="G3" s="5" t="s">
        <v>208</v>
      </c>
      <c r="H3" s="5"/>
    </row>
    <row r="4" spans="1:8" x14ac:dyDescent="0.15">
      <c r="A4" s="5" t="s">
        <v>434</v>
      </c>
      <c r="B4" s="5" t="s">
        <v>234</v>
      </c>
      <c r="C4" s="5" t="str">
        <f>IFERROR(VLOOKUP($B4,点検表マスタ!$A:$B,2,FALSE)&amp;"","")</f>
        <v>高周波 点検表</v>
      </c>
      <c r="D4" s="5">
        <v>3</v>
      </c>
      <c r="E4" s="5" t="s">
        <v>435</v>
      </c>
      <c r="F4" s="5" t="s">
        <v>436</v>
      </c>
      <c r="G4" s="5" t="s">
        <v>208</v>
      </c>
      <c r="H4" s="5" t="s">
        <v>437</v>
      </c>
    </row>
    <row r="5" spans="1:8" x14ac:dyDescent="0.15">
      <c r="A5" s="5" t="s">
        <v>438</v>
      </c>
      <c r="B5" s="5" t="s">
        <v>234</v>
      </c>
      <c r="C5" s="5" t="str">
        <f>IFERROR(VLOOKUP($B5,点検表マスタ!$A:$B,2,FALSE)&amp;"","")</f>
        <v>高周波 点検表</v>
      </c>
      <c r="D5" s="5">
        <v>4</v>
      </c>
      <c r="E5" s="5" t="s">
        <v>439</v>
      </c>
      <c r="F5" s="5" t="s">
        <v>431</v>
      </c>
      <c r="G5" s="5" t="s">
        <v>208</v>
      </c>
      <c r="H5" s="5"/>
    </row>
    <row r="6" spans="1:8" x14ac:dyDescent="0.15">
      <c r="A6" s="5" t="s">
        <v>440</v>
      </c>
      <c r="B6" s="5" t="s">
        <v>234</v>
      </c>
      <c r="C6" s="5" t="str">
        <f>IFERROR(VLOOKUP($B6,点検表マスタ!$A:$B,2,FALSE)&amp;"","")</f>
        <v>高周波 点検表</v>
      </c>
      <c r="D6" s="5">
        <v>5</v>
      </c>
      <c r="E6" s="5" t="s">
        <v>441</v>
      </c>
      <c r="F6" s="5" t="s">
        <v>431</v>
      </c>
      <c r="G6" s="5"/>
      <c r="H6" s="5"/>
    </row>
    <row r="7" spans="1:8" x14ac:dyDescent="0.15">
      <c r="A7" s="5" t="s">
        <v>442</v>
      </c>
      <c r="B7" s="5" t="s">
        <v>219</v>
      </c>
      <c r="C7" s="5" t="str">
        <f>IFERROR(VLOOKUP($B7,点検表マスタ!$A:$B,2,FALSE)&amp;"","")</f>
        <v>AED 点検表</v>
      </c>
      <c r="D7" s="5">
        <v>1</v>
      </c>
      <c r="E7" s="5" t="s">
        <v>443</v>
      </c>
      <c r="F7" s="5" t="s">
        <v>431</v>
      </c>
      <c r="G7" s="5" t="s">
        <v>208</v>
      </c>
      <c r="H7" s="5"/>
    </row>
    <row r="8" spans="1:8" x14ac:dyDescent="0.15">
      <c r="A8" s="5" t="s">
        <v>444</v>
      </c>
      <c r="B8" s="5" t="s">
        <v>219</v>
      </c>
      <c r="C8" s="5" t="str">
        <f>IFERROR(VLOOKUP($B8,点検表マスタ!$A:$B,2,FALSE)&amp;"","")</f>
        <v>AED 点検表</v>
      </c>
      <c r="D8" s="5">
        <v>2</v>
      </c>
      <c r="E8" s="5" t="s">
        <v>445</v>
      </c>
      <c r="F8" s="5" t="s">
        <v>446</v>
      </c>
      <c r="G8" s="5" t="s">
        <v>208</v>
      </c>
      <c r="H8" s="5"/>
    </row>
    <row r="9" spans="1:8" x14ac:dyDescent="0.15">
      <c r="A9" s="5" t="s">
        <v>447</v>
      </c>
      <c r="B9" s="5" t="s">
        <v>219</v>
      </c>
      <c r="C9" s="5" t="str">
        <f>IFERROR(VLOOKUP($B9,点検表マスタ!$A:$B,2,FALSE)&amp;"","")</f>
        <v>AED 点検表</v>
      </c>
      <c r="D9" s="5">
        <v>3</v>
      </c>
      <c r="E9" s="5" t="s">
        <v>448</v>
      </c>
      <c r="F9" s="5" t="s">
        <v>446</v>
      </c>
      <c r="G9" s="5" t="s">
        <v>208</v>
      </c>
      <c r="H9" s="5"/>
    </row>
    <row r="10" spans="1:8" x14ac:dyDescent="0.15">
      <c r="A10" s="5" t="s">
        <v>449</v>
      </c>
      <c r="B10" s="5" t="s">
        <v>219</v>
      </c>
      <c r="C10" s="5" t="str">
        <f>IFERROR(VLOOKUP($B10,点検表マスタ!$A:$B,2,FALSE)&amp;"","")</f>
        <v>AED 点検表</v>
      </c>
      <c r="D10" s="5">
        <v>4</v>
      </c>
      <c r="E10" s="5" t="s">
        <v>450</v>
      </c>
      <c r="F10" s="5" t="s">
        <v>431</v>
      </c>
      <c r="G10" s="5" t="s">
        <v>208</v>
      </c>
      <c r="H10" s="5"/>
    </row>
    <row r="11" spans="1:8" x14ac:dyDescent="0.15">
      <c r="A11" s="5" t="s">
        <v>451</v>
      </c>
      <c r="B11" s="5" t="s">
        <v>219</v>
      </c>
      <c r="C11" s="5" t="str">
        <f>IFERROR(VLOOKUP($B11,点検表マスタ!$A:$B,2,FALSE)&amp;"","")</f>
        <v>AED 点検表</v>
      </c>
      <c r="D11" s="5">
        <v>5</v>
      </c>
      <c r="E11" s="5" t="s">
        <v>452</v>
      </c>
      <c r="F11" s="5" t="s">
        <v>431</v>
      </c>
      <c r="G11" s="5"/>
      <c r="H11" s="5"/>
    </row>
    <row r="12" spans="1:8" x14ac:dyDescent="0.15">
      <c r="A12" s="5" t="s">
        <v>453</v>
      </c>
      <c r="B12" s="5" t="s">
        <v>212</v>
      </c>
      <c r="C12" s="5" t="str">
        <f>IFERROR(VLOOKUP($B12,点検表マスタ!$A:$B,2,FALSE)&amp;"","")</f>
        <v>電子血圧計 点検表</v>
      </c>
      <c r="D12" s="5">
        <v>1</v>
      </c>
      <c r="E12" s="5" t="s">
        <v>454</v>
      </c>
      <c r="F12" s="5" t="s">
        <v>431</v>
      </c>
      <c r="G12" s="5" t="s">
        <v>208</v>
      </c>
      <c r="H12" s="5"/>
    </row>
    <row r="13" spans="1:8" x14ac:dyDescent="0.15">
      <c r="A13" s="5" t="s">
        <v>455</v>
      </c>
      <c r="B13" s="5" t="s">
        <v>212</v>
      </c>
      <c r="C13" s="5" t="str">
        <f>IFERROR(VLOOKUP($B13,点検表マスタ!$A:$B,2,FALSE)&amp;"","")</f>
        <v>電子血圧計 点検表</v>
      </c>
      <c r="D13" s="5">
        <v>2</v>
      </c>
      <c r="E13" s="5" t="s">
        <v>456</v>
      </c>
      <c r="F13" s="5" t="s">
        <v>431</v>
      </c>
      <c r="G13" s="5" t="s">
        <v>208</v>
      </c>
      <c r="H13" s="5"/>
    </row>
    <row r="14" spans="1:8" x14ac:dyDescent="0.15">
      <c r="A14" s="5" t="s">
        <v>457</v>
      </c>
      <c r="B14" s="5" t="s">
        <v>212</v>
      </c>
      <c r="C14" s="5" t="str">
        <f>IFERROR(VLOOKUP($B14,点検表マスタ!$A:$B,2,FALSE)&amp;"","")</f>
        <v>電子血圧計 点検表</v>
      </c>
      <c r="D14" s="5">
        <v>3</v>
      </c>
      <c r="E14" s="5" t="s">
        <v>458</v>
      </c>
      <c r="F14" s="5" t="s">
        <v>431</v>
      </c>
      <c r="G14" s="5" t="s">
        <v>208</v>
      </c>
      <c r="H14" s="5"/>
    </row>
    <row r="15" spans="1:8" x14ac:dyDescent="0.15">
      <c r="A15" s="5" t="s">
        <v>459</v>
      </c>
      <c r="B15" s="5" t="s">
        <v>212</v>
      </c>
      <c r="C15" s="5" t="str">
        <f>IFERROR(VLOOKUP($B15,点検表マスタ!$A:$B,2,FALSE)&amp;"","")</f>
        <v>電子血圧計 点検表</v>
      </c>
      <c r="D15" s="5">
        <v>4</v>
      </c>
      <c r="E15" s="5" t="s">
        <v>460</v>
      </c>
      <c r="F15" s="5" t="s">
        <v>436</v>
      </c>
      <c r="G15" s="5"/>
      <c r="H15" s="5" t="s">
        <v>461</v>
      </c>
    </row>
    <row r="16" spans="1:8" x14ac:dyDescent="0.15">
      <c r="A16" s="5" t="s">
        <v>462</v>
      </c>
      <c r="B16" s="5" t="s">
        <v>207</v>
      </c>
      <c r="C16" s="5" t="str">
        <f>IFERROR(VLOOKUP($B16,点検表マスタ!$A:$B,2,FALSE)&amp;"","")</f>
        <v>診察台（電動式） 点検表</v>
      </c>
      <c r="D16" s="5">
        <v>1</v>
      </c>
      <c r="E16" s="5" t="s">
        <v>463</v>
      </c>
      <c r="F16" s="5" t="s">
        <v>431</v>
      </c>
      <c r="G16" s="5" t="s">
        <v>208</v>
      </c>
      <c r="H16" s="5"/>
    </row>
    <row r="17" spans="1:8" x14ac:dyDescent="0.15">
      <c r="A17" s="5" t="s">
        <v>464</v>
      </c>
      <c r="B17" s="5" t="s">
        <v>207</v>
      </c>
      <c r="C17" s="5" t="str">
        <f>IFERROR(VLOOKUP($B17,点検表マスタ!$A:$B,2,FALSE)&amp;"","")</f>
        <v>診察台（電動式） 点検表</v>
      </c>
      <c r="D17" s="5">
        <v>2</v>
      </c>
      <c r="E17" s="5" t="s">
        <v>465</v>
      </c>
      <c r="F17" s="5" t="s">
        <v>431</v>
      </c>
      <c r="G17" s="5" t="s">
        <v>208</v>
      </c>
      <c r="H17" s="5"/>
    </row>
    <row r="18" spans="1:8" x14ac:dyDescent="0.15">
      <c r="A18" s="5" t="s">
        <v>466</v>
      </c>
      <c r="B18" s="5" t="s">
        <v>207</v>
      </c>
      <c r="C18" s="5" t="str">
        <f>IFERROR(VLOOKUP($B18,点検表マスタ!$A:$B,2,FALSE)&amp;"","")</f>
        <v>診察台（電動式） 点検表</v>
      </c>
      <c r="D18" s="5">
        <v>3</v>
      </c>
      <c r="E18" s="5" t="s">
        <v>467</v>
      </c>
      <c r="F18" s="5" t="s">
        <v>431</v>
      </c>
      <c r="G18" s="5"/>
      <c r="H18" s="5"/>
    </row>
    <row r="19" spans="1:8" x14ac:dyDescent="0.15">
      <c r="A19" s="5" t="s">
        <v>468</v>
      </c>
      <c r="B19" s="5" t="s">
        <v>214</v>
      </c>
      <c r="C19" s="5" t="str">
        <f>IFERROR(VLOOKUP($B19,点検表マスタ!$A:$B,2,FALSE)&amp;"","")</f>
        <v>FPD 点検表</v>
      </c>
      <c r="D19" s="5">
        <v>1</v>
      </c>
      <c r="E19" s="5" t="s">
        <v>469</v>
      </c>
      <c r="F19" s="5" t="s">
        <v>431</v>
      </c>
      <c r="G19" s="5" t="s">
        <v>208</v>
      </c>
      <c r="H19" s="5"/>
    </row>
    <row r="20" spans="1:8" x14ac:dyDescent="0.15">
      <c r="A20" s="5" t="s">
        <v>470</v>
      </c>
      <c r="B20" s="5" t="s">
        <v>214</v>
      </c>
      <c r="C20" s="5" t="str">
        <f>IFERROR(VLOOKUP($B20,点検表マスタ!$A:$B,2,FALSE)&amp;"","")</f>
        <v>FPD 点検表</v>
      </c>
      <c r="D20" s="5">
        <v>2</v>
      </c>
      <c r="E20" s="5" t="s">
        <v>471</v>
      </c>
      <c r="F20" s="5" t="s">
        <v>431</v>
      </c>
      <c r="G20" s="5" t="s">
        <v>208</v>
      </c>
      <c r="H20" s="5"/>
    </row>
    <row r="21" spans="1:8" x14ac:dyDescent="0.15">
      <c r="A21" s="5" t="s">
        <v>472</v>
      </c>
      <c r="B21" s="5" t="s">
        <v>214</v>
      </c>
      <c r="C21" s="5" t="str">
        <f>IFERROR(VLOOKUP($B21,点検表マスタ!$A:$B,2,FALSE)&amp;"","")</f>
        <v>FPD 点検表</v>
      </c>
      <c r="D21" s="5">
        <v>3</v>
      </c>
      <c r="E21" s="5" t="s">
        <v>473</v>
      </c>
      <c r="F21" s="5" t="s">
        <v>431</v>
      </c>
      <c r="G21" s="5" t="s">
        <v>208</v>
      </c>
      <c r="H21" s="5"/>
    </row>
  </sheetData>
  <autoFilter ref="A1:H1" xr:uid="{00000000-0009-0000-0000-000006000000}"/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8.75" customWidth="1"/>
    <col min="2" max="2" width="16.625" customWidth="1"/>
    <col min="3" max="3" width="18.75" customWidth="1"/>
    <col min="4" max="4" width="14.5" customWidth="1"/>
    <col min="5" max="6" width="10" customWidth="1"/>
  </cols>
  <sheetData>
    <row r="1" spans="1:6" ht="21.95" customHeight="1" x14ac:dyDescent="0.15">
      <c r="A1" s="1" t="s">
        <v>474</v>
      </c>
      <c r="B1" s="2" t="s">
        <v>475</v>
      </c>
      <c r="C1" s="2" t="s">
        <v>476</v>
      </c>
      <c r="D1" s="2" t="s">
        <v>477</v>
      </c>
      <c r="E1" s="2" t="s">
        <v>205</v>
      </c>
      <c r="F1" s="2" t="s">
        <v>20</v>
      </c>
    </row>
    <row r="2" spans="1:6" x14ac:dyDescent="0.15">
      <c r="A2" s="5" t="s">
        <v>478</v>
      </c>
      <c r="B2" s="5" t="s">
        <v>479</v>
      </c>
      <c r="C2" s="5" t="s">
        <v>32</v>
      </c>
      <c r="D2" s="5" t="s">
        <v>480</v>
      </c>
      <c r="E2" s="5" t="s">
        <v>208</v>
      </c>
      <c r="F2" s="5" t="s">
        <v>481</v>
      </c>
    </row>
    <row r="3" spans="1:6" x14ac:dyDescent="0.15">
      <c r="A3" s="5" t="s">
        <v>482</v>
      </c>
      <c r="B3" s="5" t="s">
        <v>403</v>
      </c>
      <c r="C3" s="5" t="s">
        <v>483</v>
      </c>
      <c r="D3" s="5" t="s">
        <v>484</v>
      </c>
      <c r="E3" s="5" t="s">
        <v>208</v>
      </c>
      <c r="F3" s="5" t="s">
        <v>485</v>
      </c>
    </row>
    <row r="4" spans="1:6" x14ac:dyDescent="0.15">
      <c r="A4" s="5" t="s">
        <v>486</v>
      </c>
      <c r="B4" s="5" t="s">
        <v>407</v>
      </c>
      <c r="C4" s="5" t="s">
        <v>483</v>
      </c>
      <c r="D4" s="5" t="s">
        <v>487</v>
      </c>
      <c r="E4" s="5" t="s">
        <v>208</v>
      </c>
      <c r="F4" s="5" t="s">
        <v>485</v>
      </c>
    </row>
    <row r="5" spans="1:6" x14ac:dyDescent="0.15">
      <c r="A5" s="5" t="s">
        <v>488</v>
      </c>
      <c r="B5" s="5" t="s">
        <v>489</v>
      </c>
      <c r="C5" s="5" t="s">
        <v>483</v>
      </c>
      <c r="D5" s="5" t="s">
        <v>487</v>
      </c>
      <c r="E5" s="5" t="s">
        <v>208</v>
      </c>
      <c r="F5" s="5"/>
    </row>
    <row r="6" spans="1:6" x14ac:dyDescent="0.15">
      <c r="A6" s="5" t="s">
        <v>490</v>
      </c>
      <c r="B6" s="5" t="s">
        <v>491</v>
      </c>
      <c r="C6" s="5" t="s">
        <v>50</v>
      </c>
      <c r="D6" s="5" t="s">
        <v>480</v>
      </c>
      <c r="E6" s="5" t="s">
        <v>208</v>
      </c>
      <c r="F6" s="5"/>
    </row>
    <row r="7" spans="1:6" x14ac:dyDescent="0.15">
      <c r="A7" s="5" t="s">
        <v>492</v>
      </c>
      <c r="B7" s="5" t="s">
        <v>493</v>
      </c>
      <c r="C7" s="5" t="s">
        <v>494</v>
      </c>
      <c r="D7" s="5" t="s">
        <v>480</v>
      </c>
      <c r="E7" s="5" t="s">
        <v>208</v>
      </c>
      <c r="F7" s="5" t="s">
        <v>495</v>
      </c>
    </row>
    <row r="8" spans="1:6" x14ac:dyDescent="0.15">
      <c r="A8" s="5" t="s">
        <v>496</v>
      </c>
      <c r="B8" s="5" t="s">
        <v>497</v>
      </c>
      <c r="C8" s="5" t="s">
        <v>32</v>
      </c>
      <c r="D8" s="5" t="s">
        <v>480</v>
      </c>
      <c r="E8" s="5" t="s">
        <v>208</v>
      </c>
      <c r="F8" s="5" t="s">
        <v>498</v>
      </c>
    </row>
    <row r="9" spans="1:6" x14ac:dyDescent="0.15">
      <c r="A9" s="5" t="s">
        <v>499</v>
      </c>
      <c r="B9" s="5" t="s">
        <v>500</v>
      </c>
      <c r="C9" s="5" t="s">
        <v>483</v>
      </c>
      <c r="D9" s="5" t="s">
        <v>480</v>
      </c>
      <c r="E9" s="5" t="s">
        <v>208</v>
      </c>
      <c r="F9" s="5" t="s">
        <v>501</v>
      </c>
    </row>
    <row r="10" spans="1:6" x14ac:dyDescent="0.15">
      <c r="A10" s="5" t="s">
        <v>502</v>
      </c>
      <c r="B10" s="5" t="s">
        <v>503</v>
      </c>
      <c r="C10" s="5" t="s">
        <v>504</v>
      </c>
      <c r="D10" s="5" t="s">
        <v>480</v>
      </c>
      <c r="E10" s="5" t="s">
        <v>208</v>
      </c>
      <c r="F10" s="5" t="s">
        <v>505</v>
      </c>
    </row>
    <row r="11" spans="1:6" x14ac:dyDescent="0.15">
      <c r="A11" s="5" t="s">
        <v>506</v>
      </c>
      <c r="B11" s="5" t="s">
        <v>507</v>
      </c>
      <c r="C11" s="5" t="s">
        <v>32</v>
      </c>
      <c r="D11" s="5" t="s">
        <v>480</v>
      </c>
      <c r="E11" s="5" t="s">
        <v>208</v>
      </c>
      <c r="F11" s="5" t="s">
        <v>505</v>
      </c>
    </row>
    <row r="12" spans="1:6" x14ac:dyDescent="0.15">
      <c r="A12" s="5" t="s">
        <v>508</v>
      </c>
      <c r="B12" s="5" t="s">
        <v>509</v>
      </c>
      <c r="C12" s="5" t="s">
        <v>146</v>
      </c>
      <c r="D12" s="5" t="s">
        <v>480</v>
      </c>
      <c r="E12" s="5" t="s">
        <v>208</v>
      </c>
      <c r="F12" s="5" t="s">
        <v>510</v>
      </c>
    </row>
  </sheetData>
  <autoFilter ref="A1:F1" xr:uid="{00000000-0009-0000-0000-000007000000}"/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.375" customWidth="1"/>
    <col min="2" max="2" width="14.5" customWidth="1"/>
    <col min="3" max="3" width="12.375" customWidth="1"/>
    <col min="4" max="4" width="10.25" customWidth="1"/>
    <col min="5" max="7" width="10" customWidth="1"/>
  </cols>
  <sheetData>
    <row r="1" spans="1:7" ht="21.95" customHeight="1" x14ac:dyDescent="0.15">
      <c r="A1" s="1" t="s">
        <v>511</v>
      </c>
      <c r="B1" s="2" t="s">
        <v>512</v>
      </c>
      <c r="C1" s="3" t="s">
        <v>13</v>
      </c>
      <c r="D1" s="4" t="s">
        <v>14</v>
      </c>
      <c r="E1" s="2" t="s">
        <v>513</v>
      </c>
      <c r="F1" s="2" t="s">
        <v>205</v>
      </c>
      <c r="G1" s="2" t="s">
        <v>20</v>
      </c>
    </row>
    <row r="2" spans="1:7" x14ac:dyDescent="0.15">
      <c r="A2" s="5" t="s">
        <v>514</v>
      </c>
      <c r="B2" s="5" t="s">
        <v>248</v>
      </c>
      <c r="C2" s="5" t="s">
        <v>30</v>
      </c>
      <c r="D2" s="5" t="str">
        <f>IFERROR(VLOOKUP($C2,部署マスタ!$A:$B,2,FALSE)&amp;"","")</f>
        <v>理学診療部</v>
      </c>
      <c r="E2" s="5" t="s">
        <v>515</v>
      </c>
      <c r="F2" s="5" t="s">
        <v>208</v>
      </c>
      <c r="G2" s="5"/>
    </row>
    <row r="3" spans="1:7" x14ac:dyDescent="0.15">
      <c r="A3" s="5" t="s">
        <v>516</v>
      </c>
      <c r="B3" s="5" t="s">
        <v>251</v>
      </c>
      <c r="C3" s="5" t="s">
        <v>95</v>
      </c>
      <c r="D3" s="5" t="str">
        <f>IFERROR(VLOOKUP($C3,部署マスタ!$A:$B,2,FALSE)&amp;"","")</f>
        <v>外来看護部</v>
      </c>
      <c r="E3" s="5" t="s">
        <v>515</v>
      </c>
      <c r="F3" s="5" t="s">
        <v>208</v>
      </c>
      <c r="G3" s="5"/>
    </row>
    <row r="4" spans="1:7" x14ac:dyDescent="0.15">
      <c r="A4" s="5" t="s">
        <v>517</v>
      </c>
      <c r="B4" s="5" t="s">
        <v>253</v>
      </c>
      <c r="C4" s="5" t="s">
        <v>83</v>
      </c>
      <c r="D4" s="5" t="str">
        <f>IFERROR(VLOOKUP($C4,部署マスタ!$A:$B,2,FALSE)&amp;"","")</f>
        <v>画像検査部</v>
      </c>
      <c r="E4" s="5" t="s">
        <v>518</v>
      </c>
      <c r="F4" s="5" t="s">
        <v>208</v>
      </c>
      <c r="G4" s="5" t="s">
        <v>519</v>
      </c>
    </row>
    <row r="5" spans="1:7" x14ac:dyDescent="0.15">
      <c r="A5" s="5" t="s">
        <v>520</v>
      </c>
      <c r="B5" s="5" t="s">
        <v>255</v>
      </c>
      <c r="C5" s="5" t="s">
        <v>181</v>
      </c>
      <c r="D5" s="5" t="str">
        <f>IFERROR(VLOOKUP($C5,部署マスタ!$A:$B,2,FALSE)&amp;"","")</f>
        <v>臨床検査部</v>
      </c>
      <c r="E5" s="5" t="s">
        <v>515</v>
      </c>
      <c r="F5" s="5" t="s">
        <v>208</v>
      </c>
      <c r="G5" s="5"/>
    </row>
    <row r="6" spans="1:7" x14ac:dyDescent="0.15">
      <c r="A6" s="5" t="s">
        <v>521</v>
      </c>
      <c r="B6" s="5" t="s">
        <v>249</v>
      </c>
      <c r="C6" s="5" t="s">
        <v>30</v>
      </c>
      <c r="D6" s="5" t="str">
        <f>IFERROR(VLOOKUP($C6,部署マスタ!$A:$B,2,FALSE)&amp;"","")</f>
        <v>理学診療部</v>
      </c>
      <c r="E6" s="5" t="s">
        <v>518</v>
      </c>
      <c r="F6" s="5" t="s">
        <v>208</v>
      </c>
      <c r="G6" s="5" t="s">
        <v>522</v>
      </c>
    </row>
    <row r="7" spans="1:7" x14ac:dyDescent="0.15">
      <c r="A7" s="5" t="s">
        <v>523</v>
      </c>
      <c r="B7" s="5" t="s">
        <v>257</v>
      </c>
      <c r="C7" s="5" t="s">
        <v>135</v>
      </c>
      <c r="D7" s="5" t="str">
        <f>IFERROR(VLOOKUP($C7,部署マスタ!$A:$B,2,FALSE)&amp;"","")</f>
        <v>1F病棟</v>
      </c>
      <c r="E7" s="5" t="s">
        <v>515</v>
      </c>
      <c r="F7" s="5" t="s">
        <v>208</v>
      </c>
      <c r="G7" s="5"/>
    </row>
    <row r="8" spans="1:7" x14ac:dyDescent="0.15">
      <c r="A8" s="5" t="s">
        <v>524</v>
      </c>
      <c r="B8" s="5" t="s">
        <v>258</v>
      </c>
      <c r="C8" s="5" t="s">
        <v>135</v>
      </c>
      <c r="D8" s="5" t="str">
        <f>IFERROR(VLOOKUP($C8,部署マスタ!$A:$B,2,FALSE)&amp;"","")</f>
        <v>1F病棟</v>
      </c>
      <c r="E8" s="5" t="s">
        <v>515</v>
      </c>
      <c r="F8" s="5" t="s">
        <v>208</v>
      </c>
      <c r="G8" s="5"/>
    </row>
    <row r="9" spans="1:7" x14ac:dyDescent="0.15">
      <c r="A9" s="5" t="s">
        <v>525</v>
      </c>
      <c r="B9" s="5" t="s">
        <v>261</v>
      </c>
      <c r="C9" s="5" t="s">
        <v>259</v>
      </c>
      <c r="D9" s="5" t="str">
        <f>IFERROR(VLOOKUP($C9,部署マスタ!$A:$B,2,FALSE)&amp;"","")</f>
        <v>3F回復期病棟</v>
      </c>
      <c r="E9" s="5" t="s">
        <v>515</v>
      </c>
      <c r="F9" s="5" t="s">
        <v>208</v>
      </c>
      <c r="G9" s="5"/>
    </row>
    <row r="10" spans="1:7" x14ac:dyDescent="0.15">
      <c r="A10" s="5" t="s">
        <v>526</v>
      </c>
      <c r="B10" s="5" t="s">
        <v>264</v>
      </c>
      <c r="C10" s="5" t="s">
        <v>262</v>
      </c>
      <c r="D10" s="5" t="str">
        <f>IFERROR(VLOOKUP($C10,部署マスタ!$A:$B,2,FALSE)&amp;"","")</f>
        <v>総務部</v>
      </c>
      <c r="E10" s="5" t="s">
        <v>518</v>
      </c>
      <c r="F10" s="5" t="s">
        <v>208</v>
      </c>
      <c r="G10" s="5"/>
    </row>
    <row r="11" spans="1:7" x14ac:dyDescent="0.15">
      <c r="A11" s="5" t="s">
        <v>527</v>
      </c>
      <c r="B11" s="5" t="s">
        <v>267</v>
      </c>
      <c r="C11" s="5" t="s">
        <v>265</v>
      </c>
      <c r="D11" s="5" t="str">
        <f>IFERROR(VLOOKUP($C11,部署マスタ!$A:$B,2,FALSE)&amp;"","")</f>
        <v>内科</v>
      </c>
      <c r="E11" s="5" t="s">
        <v>515</v>
      </c>
      <c r="F11" s="5" t="s">
        <v>208</v>
      </c>
      <c r="G11" s="5"/>
    </row>
    <row r="12" spans="1:7" x14ac:dyDescent="0.15">
      <c r="A12" s="5" t="s">
        <v>528</v>
      </c>
      <c r="B12" s="5" t="s">
        <v>270</v>
      </c>
      <c r="C12" s="5" t="s">
        <v>268</v>
      </c>
      <c r="D12" s="5" t="str">
        <f>IFERROR(VLOOKUP($C12,部署マスタ!$A:$B,2,FALSE)&amp;"","")</f>
        <v>薬剤部</v>
      </c>
      <c r="E12" s="5" t="s">
        <v>515</v>
      </c>
      <c r="F12" s="5" t="s">
        <v>208</v>
      </c>
      <c r="G12" s="5"/>
    </row>
    <row r="13" spans="1:7" x14ac:dyDescent="0.15">
      <c r="A13" s="5" t="s">
        <v>529</v>
      </c>
      <c r="B13" s="5" t="s">
        <v>273</v>
      </c>
      <c r="C13" s="5" t="s">
        <v>271</v>
      </c>
      <c r="D13" s="5" t="str">
        <f>IFERROR(VLOOKUP($C13,部署マスタ!$A:$B,2,FALSE)&amp;"","")</f>
        <v>管理部</v>
      </c>
      <c r="E13" s="5" t="s">
        <v>515</v>
      </c>
      <c r="F13" s="5" t="s">
        <v>208</v>
      </c>
      <c r="G13" s="5"/>
    </row>
    <row r="14" spans="1:7" x14ac:dyDescent="0.15">
      <c r="A14" s="5" t="s">
        <v>530</v>
      </c>
      <c r="B14" s="5" t="s">
        <v>531</v>
      </c>
      <c r="C14" s="5" t="s">
        <v>30</v>
      </c>
      <c r="D14" s="5" t="str">
        <f>IFERROR(VLOOKUP($C14,部署マスタ!$A:$B,2,FALSE)&amp;"","")</f>
        <v>理学診療部</v>
      </c>
      <c r="E14" s="5" t="s">
        <v>515</v>
      </c>
      <c r="F14" s="5" t="s">
        <v>208</v>
      </c>
      <c r="G14" s="5"/>
    </row>
    <row r="15" spans="1:7" x14ac:dyDescent="0.15">
      <c r="A15" s="5" t="s">
        <v>532</v>
      </c>
      <c r="B15" s="5" t="s">
        <v>533</v>
      </c>
      <c r="C15" s="5" t="s">
        <v>95</v>
      </c>
      <c r="D15" s="5" t="str">
        <f>IFERROR(VLOOKUP($C15,部署マスタ!$A:$B,2,FALSE)&amp;"","")</f>
        <v>外来看護部</v>
      </c>
      <c r="E15" s="5" t="s">
        <v>515</v>
      </c>
      <c r="F15" s="5" t="s">
        <v>208</v>
      </c>
      <c r="G15" s="5"/>
    </row>
    <row r="16" spans="1:7" x14ac:dyDescent="0.15">
      <c r="A16" s="5" t="s">
        <v>534</v>
      </c>
      <c r="B16" s="5" t="s">
        <v>535</v>
      </c>
      <c r="C16" s="5" t="s">
        <v>83</v>
      </c>
      <c r="D16" s="5" t="str">
        <f>IFERROR(VLOOKUP($C16,部署マスタ!$A:$B,2,FALSE)&amp;"","")</f>
        <v>画像検査部</v>
      </c>
      <c r="E16" s="5" t="s">
        <v>515</v>
      </c>
      <c r="F16" s="5" t="s">
        <v>208</v>
      </c>
      <c r="G16" s="5"/>
    </row>
    <row r="17" spans="1:7" x14ac:dyDescent="0.15">
      <c r="A17" s="5" t="s">
        <v>536</v>
      </c>
      <c r="B17" s="5" t="s">
        <v>537</v>
      </c>
      <c r="C17" s="5" t="s">
        <v>83</v>
      </c>
      <c r="D17" s="5" t="str">
        <f>IFERROR(VLOOKUP($C17,部署マスタ!$A:$B,2,FALSE)&amp;"","")</f>
        <v>画像検査部</v>
      </c>
      <c r="E17" s="5" t="s">
        <v>515</v>
      </c>
      <c r="F17" s="5" t="s">
        <v>208</v>
      </c>
      <c r="G17" s="5"/>
    </row>
    <row r="18" spans="1:7" x14ac:dyDescent="0.15">
      <c r="A18" s="5" t="s">
        <v>538</v>
      </c>
      <c r="B18" s="5" t="s">
        <v>539</v>
      </c>
      <c r="C18" s="5" t="s">
        <v>181</v>
      </c>
      <c r="D18" s="5" t="str">
        <f>IFERROR(VLOOKUP($C18,部署マスタ!$A:$B,2,FALSE)&amp;"","")</f>
        <v>臨床検査部</v>
      </c>
      <c r="E18" s="5" t="s">
        <v>515</v>
      </c>
      <c r="F18" s="5" t="s">
        <v>208</v>
      </c>
      <c r="G18" s="5"/>
    </row>
    <row r="19" spans="1:7" x14ac:dyDescent="0.15">
      <c r="A19" s="5" t="s">
        <v>540</v>
      </c>
      <c r="B19" s="5" t="s">
        <v>541</v>
      </c>
      <c r="C19" s="5" t="s">
        <v>135</v>
      </c>
      <c r="D19" s="5" t="str">
        <f>IFERROR(VLOOKUP($C19,部署マスタ!$A:$B,2,FALSE)&amp;"","")</f>
        <v>1F病棟</v>
      </c>
      <c r="E19" s="5" t="s">
        <v>515</v>
      </c>
      <c r="F19" s="5" t="s">
        <v>208</v>
      </c>
      <c r="G19" s="5"/>
    </row>
    <row r="20" spans="1:7" x14ac:dyDescent="0.15">
      <c r="A20" s="5" t="s">
        <v>542</v>
      </c>
      <c r="B20" s="5" t="s">
        <v>543</v>
      </c>
      <c r="C20" s="5" t="s">
        <v>259</v>
      </c>
      <c r="D20" s="5" t="str">
        <f>IFERROR(VLOOKUP($C20,部署マスタ!$A:$B,2,FALSE)&amp;"","")</f>
        <v>3F回復期病棟</v>
      </c>
      <c r="E20" s="5" t="s">
        <v>515</v>
      </c>
      <c r="F20" s="5" t="s">
        <v>208</v>
      </c>
      <c r="G20" s="5"/>
    </row>
    <row r="21" spans="1:7" x14ac:dyDescent="0.15">
      <c r="A21" s="5" t="s">
        <v>544</v>
      </c>
      <c r="B21" s="5" t="s">
        <v>545</v>
      </c>
      <c r="C21" s="5" t="s">
        <v>262</v>
      </c>
      <c r="D21" s="5" t="str">
        <f>IFERROR(VLOOKUP($C21,部署マスタ!$A:$B,2,FALSE)&amp;"","")</f>
        <v>総務部</v>
      </c>
      <c r="E21" s="5" t="s">
        <v>515</v>
      </c>
      <c r="F21" s="5" t="s">
        <v>208</v>
      </c>
      <c r="G21" s="5" t="s">
        <v>519</v>
      </c>
    </row>
  </sheetData>
  <autoFilter ref="A1:G1" xr:uid="{00000000-0009-0000-0000-000008000000}"/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6"/>
  <sheetViews>
    <sheetView workbookViewId="0">
      <pane ySplit="1" topLeftCell="A2" activePane="bottomLeft" state="frozen"/>
      <selection pane="bottomLeft" activeCell="I30" sqref="I30"/>
    </sheetView>
  </sheetViews>
  <sheetFormatPr defaultRowHeight="13.5" x14ac:dyDescent="0.15"/>
  <cols>
    <col min="1" max="2" width="12.375" customWidth="1"/>
    <col min="3" max="3" width="18.75" customWidth="1"/>
    <col min="4" max="4" width="22.875" customWidth="1"/>
    <col min="5" max="5" width="12.375" customWidth="1"/>
    <col min="6" max="6" width="16.625" customWidth="1"/>
    <col min="7" max="7" width="14.5" customWidth="1"/>
    <col min="8" max="8" width="16.5" customWidth="1"/>
    <col min="9" max="9" width="14.5" customWidth="1"/>
    <col min="10" max="10" width="12.375" customWidth="1"/>
    <col min="11" max="12" width="22.875" customWidth="1"/>
    <col min="13" max="13" width="10" customWidth="1"/>
  </cols>
  <sheetData>
    <row r="1" spans="1:13" ht="21.95" customHeight="1" x14ac:dyDescent="0.15">
      <c r="A1" s="1" t="s">
        <v>546</v>
      </c>
      <c r="B1" s="3" t="s">
        <v>0</v>
      </c>
      <c r="C1" s="3" t="s">
        <v>474</v>
      </c>
      <c r="D1" s="3" t="s">
        <v>547</v>
      </c>
      <c r="E1" s="3" t="s">
        <v>13</v>
      </c>
      <c r="F1" s="3" t="s">
        <v>15</v>
      </c>
      <c r="G1" s="3" t="s">
        <v>200</v>
      </c>
      <c r="H1" s="4" t="s">
        <v>548</v>
      </c>
      <c r="I1" s="2" t="s">
        <v>549</v>
      </c>
      <c r="J1" s="2" t="s">
        <v>550</v>
      </c>
      <c r="K1" s="2" t="s">
        <v>551</v>
      </c>
      <c r="L1" s="3" t="s">
        <v>19</v>
      </c>
      <c r="M1" s="2" t="s">
        <v>20</v>
      </c>
    </row>
    <row r="2" spans="1:13" x14ac:dyDescent="0.15">
      <c r="A2" s="5" t="s">
        <v>552</v>
      </c>
      <c r="B2" s="5" t="s">
        <v>21</v>
      </c>
      <c r="C2" s="5" t="s">
        <v>478</v>
      </c>
      <c r="D2" s="5" t="s">
        <v>521</v>
      </c>
      <c r="E2" s="5" t="s">
        <v>30</v>
      </c>
      <c r="F2" s="5" t="s">
        <v>31</v>
      </c>
      <c r="G2" s="5"/>
      <c r="H2" s="7">
        <v>40525.385416666657</v>
      </c>
      <c r="I2" s="6">
        <v>40525</v>
      </c>
      <c r="J2" s="5"/>
      <c r="K2" s="5"/>
      <c r="L2" s="5"/>
      <c r="M2" s="5" t="s">
        <v>553</v>
      </c>
    </row>
    <row r="3" spans="1:13" x14ac:dyDescent="0.15">
      <c r="A3" s="5" t="s">
        <v>554</v>
      </c>
      <c r="B3" s="5" t="s">
        <v>21</v>
      </c>
      <c r="C3" s="5" t="s">
        <v>482</v>
      </c>
      <c r="D3" s="5" t="s">
        <v>514</v>
      </c>
      <c r="E3" s="5" t="s">
        <v>30</v>
      </c>
      <c r="F3" s="5" t="s">
        <v>31</v>
      </c>
      <c r="G3" s="5" t="s">
        <v>234</v>
      </c>
      <c r="H3" s="7">
        <v>46272.420138888891</v>
      </c>
      <c r="I3" s="6">
        <v>46272</v>
      </c>
      <c r="J3" s="5" t="s">
        <v>555</v>
      </c>
      <c r="K3" s="5"/>
      <c r="L3" s="5"/>
      <c r="M3" s="5"/>
    </row>
    <row r="4" spans="1:13" x14ac:dyDescent="0.15">
      <c r="A4" s="5" t="s">
        <v>556</v>
      </c>
      <c r="B4" s="5" t="s">
        <v>129</v>
      </c>
      <c r="C4" s="5" t="s">
        <v>482</v>
      </c>
      <c r="D4" s="5" t="s">
        <v>523</v>
      </c>
      <c r="E4" s="5" t="s">
        <v>135</v>
      </c>
      <c r="F4" s="5" t="s">
        <v>136</v>
      </c>
      <c r="G4" s="5" t="s">
        <v>219</v>
      </c>
      <c r="H4" s="7">
        <v>46279.368055555547</v>
      </c>
      <c r="I4" s="6">
        <v>46279</v>
      </c>
      <c r="J4" s="5" t="s">
        <v>555</v>
      </c>
      <c r="K4" s="5"/>
      <c r="L4" s="5"/>
      <c r="M4" s="5" t="s">
        <v>557</v>
      </c>
    </row>
    <row r="5" spans="1:13" x14ac:dyDescent="0.15">
      <c r="A5" s="5" t="s">
        <v>558</v>
      </c>
      <c r="B5" s="5" t="s">
        <v>129</v>
      </c>
      <c r="C5" s="5" t="s">
        <v>486</v>
      </c>
      <c r="D5" s="5" t="s">
        <v>526</v>
      </c>
      <c r="E5" s="5" t="s">
        <v>135</v>
      </c>
      <c r="F5" s="5" t="s">
        <v>136</v>
      </c>
      <c r="G5" s="5" t="s">
        <v>219</v>
      </c>
      <c r="H5" s="7">
        <v>46132.583333333343</v>
      </c>
      <c r="I5" s="6">
        <v>46132</v>
      </c>
      <c r="J5" s="5" t="s">
        <v>555</v>
      </c>
      <c r="K5" s="5"/>
      <c r="L5" s="5"/>
      <c r="M5" s="5" t="s">
        <v>559</v>
      </c>
    </row>
    <row r="6" spans="1:13" x14ac:dyDescent="0.15">
      <c r="A6" s="5" t="s">
        <v>560</v>
      </c>
      <c r="B6" s="5" t="s">
        <v>44</v>
      </c>
      <c r="C6" s="5" t="s">
        <v>482</v>
      </c>
      <c r="D6" s="5" t="s">
        <v>514</v>
      </c>
      <c r="E6" s="5" t="s">
        <v>30</v>
      </c>
      <c r="F6" s="5" t="s">
        <v>31</v>
      </c>
      <c r="G6" s="5" t="s">
        <v>212</v>
      </c>
      <c r="H6" s="7">
        <v>46069.378472222219</v>
      </c>
      <c r="I6" s="6">
        <v>46069</v>
      </c>
      <c r="J6" s="5" t="s">
        <v>555</v>
      </c>
      <c r="K6" s="5"/>
      <c r="L6" s="5"/>
      <c r="M6" s="5"/>
    </row>
    <row r="7" spans="1:13" x14ac:dyDescent="0.15">
      <c r="A7" s="5" t="s">
        <v>561</v>
      </c>
      <c r="B7" s="5" t="s">
        <v>44</v>
      </c>
      <c r="C7" s="5" t="s">
        <v>490</v>
      </c>
      <c r="D7" s="5" t="s">
        <v>514</v>
      </c>
      <c r="E7" s="5" t="s">
        <v>30</v>
      </c>
      <c r="F7" s="5" t="s">
        <v>31</v>
      </c>
      <c r="G7" s="5"/>
      <c r="H7" s="7">
        <v>46254.604166666657</v>
      </c>
      <c r="I7" s="6">
        <v>46254</v>
      </c>
      <c r="J7" s="5" t="s">
        <v>562</v>
      </c>
      <c r="K7" s="5" t="s">
        <v>563</v>
      </c>
      <c r="L7" s="5"/>
      <c r="M7" s="5"/>
    </row>
    <row r="8" spans="1:13" x14ac:dyDescent="0.15">
      <c r="A8" s="5" t="s">
        <v>564</v>
      </c>
      <c r="B8" s="5" t="s">
        <v>158</v>
      </c>
      <c r="C8" s="5" t="s">
        <v>486</v>
      </c>
      <c r="D8" s="5" t="s">
        <v>517</v>
      </c>
      <c r="E8" s="5" t="s">
        <v>83</v>
      </c>
      <c r="F8" s="5" t="s">
        <v>164</v>
      </c>
      <c r="G8" s="5" t="s">
        <v>214</v>
      </c>
      <c r="H8" s="7">
        <v>46160.555555555547</v>
      </c>
      <c r="I8" s="6">
        <v>46160</v>
      </c>
      <c r="J8" s="5" t="s">
        <v>555</v>
      </c>
      <c r="K8" s="5"/>
      <c r="L8" s="5"/>
      <c r="M8" s="5" t="s">
        <v>559</v>
      </c>
    </row>
    <row r="9" spans="1:13" x14ac:dyDescent="0.15">
      <c r="A9" s="5" t="s">
        <v>565</v>
      </c>
      <c r="B9" s="5" t="s">
        <v>158</v>
      </c>
      <c r="C9" s="5" t="s">
        <v>482</v>
      </c>
      <c r="D9" s="5" t="s">
        <v>534</v>
      </c>
      <c r="E9" s="5" t="s">
        <v>83</v>
      </c>
      <c r="F9" s="5" t="s">
        <v>164</v>
      </c>
      <c r="G9" s="5" t="s">
        <v>214</v>
      </c>
      <c r="H9" s="7">
        <v>46239.395833333343</v>
      </c>
      <c r="I9" s="6">
        <v>46239</v>
      </c>
      <c r="J9" s="5" t="s">
        <v>555</v>
      </c>
      <c r="K9" s="5"/>
      <c r="L9" s="5"/>
      <c r="M9" s="5"/>
    </row>
    <row r="10" spans="1:13" x14ac:dyDescent="0.15">
      <c r="A10" s="5" t="s">
        <v>566</v>
      </c>
      <c r="B10" s="5" t="s">
        <v>35</v>
      </c>
      <c r="C10" s="5" t="s">
        <v>482</v>
      </c>
      <c r="D10" s="5" t="s">
        <v>530</v>
      </c>
      <c r="E10" s="5" t="s">
        <v>30</v>
      </c>
      <c r="F10" s="5" t="s">
        <v>31</v>
      </c>
      <c r="G10" s="5" t="s">
        <v>207</v>
      </c>
      <c r="H10" s="7">
        <v>46153.715277777781</v>
      </c>
      <c r="I10" s="6">
        <v>46153</v>
      </c>
      <c r="J10" s="5" t="s">
        <v>555</v>
      </c>
      <c r="K10" s="5"/>
      <c r="L10" s="5"/>
      <c r="M10" s="5"/>
    </row>
    <row r="11" spans="1:13" x14ac:dyDescent="0.15">
      <c r="A11" s="5" t="s">
        <v>567</v>
      </c>
      <c r="B11" s="5" t="s">
        <v>98</v>
      </c>
      <c r="C11" s="5" t="s">
        <v>482</v>
      </c>
      <c r="D11" s="5" t="s">
        <v>514</v>
      </c>
      <c r="E11" s="5" t="s">
        <v>30</v>
      </c>
      <c r="F11" s="5" t="s">
        <v>31</v>
      </c>
      <c r="G11" s="5"/>
      <c r="H11" s="7">
        <v>46225.375</v>
      </c>
      <c r="I11" s="6">
        <v>46225</v>
      </c>
      <c r="J11" s="5" t="s">
        <v>555</v>
      </c>
      <c r="K11" s="5"/>
      <c r="L11" s="5"/>
      <c r="M11" s="5"/>
    </row>
    <row r="12" spans="1:13" x14ac:dyDescent="0.15">
      <c r="A12" s="5" t="s">
        <v>568</v>
      </c>
      <c r="B12" s="5" t="s">
        <v>122</v>
      </c>
      <c r="C12" s="5" t="s">
        <v>482</v>
      </c>
      <c r="D12" s="5" t="s">
        <v>530</v>
      </c>
      <c r="E12" s="5" t="s">
        <v>30</v>
      </c>
      <c r="F12" s="5" t="s">
        <v>31</v>
      </c>
      <c r="G12" s="5"/>
      <c r="H12" s="7">
        <v>46041.694444444453</v>
      </c>
      <c r="I12" s="6">
        <v>46041</v>
      </c>
      <c r="J12" s="5" t="s">
        <v>555</v>
      </c>
      <c r="K12" s="5"/>
      <c r="L12" s="5"/>
      <c r="M12" s="5"/>
    </row>
    <row r="13" spans="1:13" x14ac:dyDescent="0.15">
      <c r="A13" s="5" t="s">
        <v>569</v>
      </c>
      <c r="B13" s="5" t="s">
        <v>184</v>
      </c>
      <c r="C13" s="5" t="s">
        <v>482</v>
      </c>
      <c r="D13" s="5" t="s">
        <v>520</v>
      </c>
      <c r="E13" s="5" t="s">
        <v>181</v>
      </c>
      <c r="F13" s="5" t="s">
        <v>182</v>
      </c>
      <c r="G13" s="5"/>
      <c r="H13" s="7">
        <v>46245.46875</v>
      </c>
      <c r="I13" s="6">
        <v>46245</v>
      </c>
      <c r="J13" s="5" t="s">
        <v>555</v>
      </c>
      <c r="K13" s="5"/>
      <c r="L13" s="5"/>
      <c r="M13" s="5"/>
    </row>
    <row r="14" spans="1:13" x14ac:dyDescent="0.15">
      <c r="A14" s="5" t="s">
        <v>570</v>
      </c>
      <c r="B14" s="5" t="s">
        <v>184</v>
      </c>
      <c r="C14" s="5" t="s">
        <v>486</v>
      </c>
      <c r="D14" s="5" t="s">
        <v>538</v>
      </c>
      <c r="E14" s="5" t="s">
        <v>181</v>
      </c>
      <c r="F14" s="5" t="s">
        <v>182</v>
      </c>
      <c r="G14" s="5"/>
      <c r="H14" s="7">
        <v>46083.625</v>
      </c>
      <c r="I14" s="6">
        <v>46083</v>
      </c>
      <c r="J14" s="5" t="s">
        <v>555</v>
      </c>
      <c r="K14" s="5"/>
      <c r="L14" s="5"/>
      <c r="M14" s="5" t="s">
        <v>559</v>
      </c>
    </row>
    <row r="15" spans="1:13" x14ac:dyDescent="0.15">
      <c r="A15" s="5" t="s">
        <v>571</v>
      </c>
      <c r="B15" s="5" t="s">
        <v>192</v>
      </c>
      <c r="C15" s="5" t="s">
        <v>486</v>
      </c>
      <c r="D15" s="5" t="s">
        <v>538</v>
      </c>
      <c r="E15" s="5" t="s">
        <v>181</v>
      </c>
      <c r="F15" s="5" t="s">
        <v>182</v>
      </c>
      <c r="G15" s="5"/>
      <c r="H15" s="7">
        <v>46077.645833333343</v>
      </c>
      <c r="I15" s="6">
        <v>46077</v>
      </c>
      <c r="J15" s="5" t="s">
        <v>555</v>
      </c>
      <c r="K15" s="5"/>
      <c r="L15" s="5"/>
      <c r="M15" s="5" t="s">
        <v>572</v>
      </c>
    </row>
    <row r="16" spans="1:13" x14ac:dyDescent="0.15">
      <c r="A16" s="5" t="s">
        <v>573</v>
      </c>
      <c r="B16" s="5" t="s">
        <v>52</v>
      </c>
      <c r="C16" s="5" t="s">
        <v>482</v>
      </c>
      <c r="D16" s="5" t="s">
        <v>514</v>
      </c>
      <c r="E16" s="5" t="s">
        <v>30</v>
      </c>
      <c r="F16" s="5" t="s">
        <v>31</v>
      </c>
      <c r="G16" s="5"/>
      <c r="H16" s="7">
        <v>46188.430555555547</v>
      </c>
      <c r="I16" s="6">
        <v>46188</v>
      </c>
      <c r="J16" s="5" t="s">
        <v>555</v>
      </c>
      <c r="K16" s="5"/>
      <c r="L16" s="5"/>
      <c r="M16" s="5"/>
    </row>
    <row r="17" spans="1:13" x14ac:dyDescent="0.15">
      <c r="A17" s="5" t="s">
        <v>574</v>
      </c>
      <c r="B17" s="5" t="s">
        <v>149</v>
      </c>
      <c r="C17" s="5" t="s">
        <v>482</v>
      </c>
      <c r="D17" s="5" t="s">
        <v>540</v>
      </c>
      <c r="E17" s="5" t="s">
        <v>135</v>
      </c>
      <c r="F17" s="5" t="s">
        <v>156</v>
      </c>
      <c r="G17" s="5"/>
      <c r="H17" s="7">
        <v>46266.354166666657</v>
      </c>
      <c r="I17" s="6">
        <v>46266</v>
      </c>
      <c r="J17" s="5" t="s">
        <v>555</v>
      </c>
      <c r="K17" s="5"/>
      <c r="L17" s="5"/>
      <c r="M17" s="5"/>
    </row>
    <row r="18" spans="1:13" x14ac:dyDescent="0.15">
      <c r="A18" s="5" t="s">
        <v>575</v>
      </c>
      <c r="B18" s="5" t="s">
        <v>60</v>
      </c>
      <c r="C18" s="5" t="s">
        <v>482</v>
      </c>
      <c r="D18" s="5" t="s">
        <v>530</v>
      </c>
      <c r="E18" s="5" t="s">
        <v>30</v>
      </c>
      <c r="F18" s="5" t="s">
        <v>31</v>
      </c>
      <c r="G18" s="5"/>
      <c r="H18" s="7">
        <v>46062.572916666657</v>
      </c>
      <c r="I18" s="6">
        <v>46062</v>
      </c>
      <c r="J18" s="5" t="s">
        <v>555</v>
      </c>
      <c r="K18" s="5"/>
      <c r="L18" s="5"/>
      <c r="M18" s="5"/>
    </row>
    <row r="19" spans="1:13" x14ac:dyDescent="0.15">
      <c r="A19" s="5" t="s">
        <v>576</v>
      </c>
      <c r="B19" s="5" t="s">
        <v>75</v>
      </c>
      <c r="C19" s="5" t="s">
        <v>482</v>
      </c>
      <c r="D19" s="5" t="s">
        <v>536</v>
      </c>
      <c r="E19" s="5" t="s">
        <v>83</v>
      </c>
      <c r="F19" s="5" t="s">
        <v>84</v>
      </c>
      <c r="G19" s="5"/>
      <c r="H19" s="7">
        <v>46293.75</v>
      </c>
      <c r="I19" s="6">
        <v>46293</v>
      </c>
      <c r="J19" s="5" t="s">
        <v>555</v>
      </c>
      <c r="K19" s="5"/>
      <c r="L19" s="5"/>
      <c r="M19" s="5"/>
    </row>
    <row r="20" spans="1:13" x14ac:dyDescent="0.15">
      <c r="A20" s="5" t="s">
        <v>577</v>
      </c>
      <c r="B20" s="5" t="s">
        <v>67</v>
      </c>
      <c r="C20" s="5" t="s">
        <v>482</v>
      </c>
      <c r="D20" s="5" t="s">
        <v>514</v>
      </c>
      <c r="E20" s="5" t="s">
        <v>30</v>
      </c>
      <c r="F20" s="5" t="s">
        <v>31</v>
      </c>
      <c r="G20" s="5"/>
      <c r="H20" s="7">
        <v>46167.673611111109</v>
      </c>
      <c r="I20" s="6">
        <v>46167</v>
      </c>
      <c r="J20" s="5" t="s">
        <v>555</v>
      </c>
      <c r="K20" s="5"/>
      <c r="L20" s="5"/>
      <c r="M20" s="5"/>
    </row>
    <row r="21" spans="1:13" x14ac:dyDescent="0.15">
      <c r="A21" s="5" t="s">
        <v>578</v>
      </c>
      <c r="B21" s="5" t="s">
        <v>166</v>
      </c>
      <c r="C21" s="5" t="s">
        <v>482</v>
      </c>
      <c r="D21" s="5" t="s">
        <v>530</v>
      </c>
      <c r="E21" s="5" t="s">
        <v>30</v>
      </c>
      <c r="F21" s="5" t="s">
        <v>119</v>
      </c>
      <c r="G21" s="5"/>
      <c r="H21" s="7">
        <v>46289.40625</v>
      </c>
      <c r="I21" s="6">
        <v>46289</v>
      </c>
      <c r="J21" s="5" t="s">
        <v>555</v>
      </c>
      <c r="K21" s="5"/>
      <c r="L21" s="5"/>
      <c r="M21" s="5"/>
    </row>
    <row r="22" spans="1:13" x14ac:dyDescent="0.15">
      <c r="A22" s="5" t="s">
        <v>579</v>
      </c>
      <c r="B22" s="5" t="s">
        <v>174</v>
      </c>
      <c r="C22" s="5" t="s">
        <v>482</v>
      </c>
      <c r="D22" s="5" t="s">
        <v>520</v>
      </c>
      <c r="E22" s="5" t="s">
        <v>181</v>
      </c>
      <c r="F22" s="5" t="s">
        <v>182</v>
      </c>
      <c r="G22" s="5"/>
      <c r="H22" s="7">
        <v>46233.597222222219</v>
      </c>
      <c r="I22" s="6">
        <v>46233</v>
      </c>
      <c r="J22" s="5" t="s">
        <v>555</v>
      </c>
      <c r="K22" s="5"/>
      <c r="L22" s="5"/>
      <c r="M22" s="5"/>
    </row>
    <row r="23" spans="1:13" x14ac:dyDescent="0.15">
      <c r="A23" s="5" t="s">
        <v>580</v>
      </c>
      <c r="B23" s="5" t="s">
        <v>105</v>
      </c>
      <c r="C23" s="5" t="s">
        <v>482</v>
      </c>
      <c r="D23" s="5" t="s">
        <v>532</v>
      </c>
      <c r="E23" s="5" t="s">
        <v>95</v>
      </c>
      <c r="F23" s="5" t="s">
        <v>111</v>
      </c>
      <c r="G23" s="5"/>
      <c r="H23" s="7">
        <v>46281.416666666657</v>
      </c>
      <c r="I23" s="6">
        <v>46281</v>
      </c>
      <c r="J23" s="5" t="s">
        <v>555</v>
      </c>
      <c r="K23" s="5"/>
      <c r="L23" s="5"/>
      <c r="M23" s="5"/>
    </row>
    <row r="24" spans="1:13" x14ac:dyDescent="0.15">
      <c r="A24" s="5" t="s">
        <v>581</v>
      </c>
      <c r="B24" s="5" t="s">
        <v>87</v>
      </c>
      <c r="C24" s="5" t="s">
        <v>482</v>
      </c>
      <c r="D24" s="5" t="s">
        <v>532</v>
      </c>
      <c r="E24" s="5" t="s">
        <v>95</v>
      </c>
      <c r="F24" s="5" t="s">
        <v>96</v>
      </c>
      <c r="G24" s="5"/>
      <c r="H24" s="7">
        <v>46267.479166666657</v>
      </c>
      <c r="I24" s="6">
        <v>46267</v>
      </c>
      <c r="J24" s="5" t="s">
        <v>555</v>
      </c>
      <c r="K24" s="5"/>
      <c r="L24" s="5"/>
      <c r="M24" s="5"/>
    </row>
    <row r="25" spans="1:13" x14ac:dyDescent="0.15">
      <c r="A25" s="5" t="s">
        <v>582</v>
      </c>
      <c r="B25" s="5" t="s">
        <v>113</v>
      </c>
      <c r="C25" s="5" t="s">
        <v>499</v>
      </c>
      <c r="D25" s="5" t="s">
        <v>521</v>
      </c>
      <c r="E25" s="5" t="s">
        <v>30</v>
      </c>
      <c r="F25" s="5" t="s">
        <v>119</v>
      </c>
      <c r="G25" s="5"/>
      <c r="H25" s="7">
        <v>46098.638888888891</v>
      </c>
      <c r="I25" s="6">
        <v>46098</v>
      </c>
      <c r="J25" s="5"/>
      <c r="K25" s="5"/>
      <c r="L25" s="5"/>
      <c r="M25" s="5" t="s">
        <v>583</v>
      </c>
    </row>
    <row r="26" spans="1:13" x14ac:dyDescent="0.15">
      <c r="A26" s="5" t="s">
        <v>584</v>
      </c>
      <c r="B26" s="5" t="s">
        <v>139</v>
      </c>
      <c r="C26" s="5" t="s">
        <v>508</v>
      </c>
      <c r="D26" s="5" t="s">
        <v>517</v>
      </c>
      <c r="E26" s="5" t="s">
        <v>83</v>
      </c>
      <c r="F26" s="5" t="s">
        <v>145</v>
      </c>
      <c r="G26" s="5"/>
      <c r="H26" s="7">
        <v>46203.708333333343</v>
      </c>
      <c r="I26" s="6">
        <v>46203</v>
      </c>
      <c r="J26" s="5"/>
      <c r="K26" s="5" t="s">
        <v>585</v>
      </c>
      <c r="L26" s="5"/>
      <c r="M26" s="5"/>
    </row>
  </sheetData>
  <autoFilter ref="A1:M1" xr:uid="{00000000-0009-0000-0000-000009000000}"/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.375" customWidth="1"/>
    <col min="2" max="2" width="16.625" customWidth="1"/>
    <col min="3" max="3" width="10.25" customWidth="1"/>
  </cols>
  <sheetData>
    <row r="1" spans="1:3" ht="21.95" customHeight="1" x14ac:dyDescent="0.15">
      <c r="A1" s="1" t="s">
        <v>546</v>
      </c>
      <c r="B1" s="3" t="s">
        <v>425</v>
      </c>
      <c r="C1" s="2" t="s">
        <v>586</v>
      </c>
    </row>
    <row r="2" spans="1:3" x14ac:dyDescent="0.15">
      <c r="A2" s="5" t="s">
        <v>554</v>
      </c>
      <c r="B2" s="5" t="s">
        <v>429</v>
      </c>
      <c r="C2" s="5" t="s">
        <v>587</v>
      </c>
    </row>
    <row r="3" spans="1:3" x14ac:dyDescent="0.15">
      <c r="A3" s="5" t="s">
        <v>554</v>
      </c>
      <c r="B3" s="5" t="s">
        <v>432</v>
      </c>
      <c r="C3" s="5" t="s">
        <v>587</v>
      </c>
    </row>
    <row r="4" spans="1:3" x14ac:dyDescent="0.15">
      <c r="A4" s="5" t="s">
        <v>554</v>
      </c>
      <c r="B4" s="5" t="s">
        <v>434</v>
      </c>
      <c r="C4" s="5">
        <v>12</v>
      </c>
    </row>
    <row r="5" spans="1:3" x14ac:dyDescent="0.15">
      <c r="A5" s="5" t="s">
        <v>554</v>
      </c>
      <c r="B5" s="5" t="s">
        <v>438</v>
      </c>
      <c r="C5" s="5" t="s">
        <v>587</v>
      </c>
    </row>
    <row r="6" spans="1:3" x14ac:dyDescent="0.15">
      <c r="A6" s="5" t="s">
        <v>554</v>
      </c>
      <c r="B6" s="5" t="s">
        <v>440</v>
      </c>
      <c r="C6" s="5" t="s">
        <v>587</v>
      </c>
    </row>
    <row r="7" spans="1:3" x14ac:dyDescent="0.15">
      <c r="A7" s="5" t="s">
        <v>556</v>
      </c>
      <c r="B7" s="5" t="s">
        <v>442</v>
      </c>
      <c r="C7" s="5" t="s">
        <v>587</v>
      </c>
    </row>
    <row r="8" spans="1:3" x14ac:dyDescent="0.15">
      <c r="A8" s="5" t="s">
        <v>556</v>
      </c>
      <c r="B8" s="5" t="s">
        <v>444</v>
      </c>
      <c r="C8" s="5" t="s">
        <v>588</v>
      </c>
    </row>
    <row r="9" spans="1:3" x14ac:dyDescent="0.15">
      <c r="A9" s="5" t="s">
        <v>556</v>
      </c>
      <c r="B9" s="5" t="s">
        <v>447</v>
      </c>
      <c r="C9" s="5" t="s">
        <v>589</v>
      </c>
    </row>
    <row r="10" spans="1:3" x14ac:dyDescent="0.15">
      <c r="A10" s="5" t="s">
        <v>556</v>
      </c>
      <c r="B10" s="5" t="s">
        <v>449</v>
      </c>
      <c r="C10" s="5" t="s">
        <v>587</v>
      </c>
    </row>
    <row r="11" spans="1:3" x14ac:dyDescent="0.15">
      <c r="A11" s="5" t="s">
        <v>556</v>
      </c>
      <c r="B11" s="5" t="s">
        <v>451</v>
      </c>
      <c r="C11" s="5" t="s">
        <v>587</v>
      </c>
    </row>
    <row r="12" spans="1:3" x14ac:dyDescent="0.15">
      <c r="A12" s="5" t="s">
        <v>560</v>
      </c>
      <c r="B12" s="5" t="s">
        <v>453</v>
      </c>
      <c r="C12" s="5" t="s">
        <v>587</v>
      </c>
    </row>
    <row r="13" spans="1:3" x14ac:dyDescent="0.15">
      <c r="A13" s="5" t="s">
        <v>560</v>
      </c>
      <c r="B13" s="5" t="s">
        <v>455</v>
      </c>
      <c r="C13" s="5" t="s">
        <v>587</v>
      </c>
    </row>
    <row r="14" spans="1:3" x14ac:dyDescent="0.15">
      <c r="A14" s="5" t="s">
        <v>560</v>
      </c>
      <c r="B14" s="5" t="s">
        <v>457</v>
      </c>
      <c r="C14" s="5" t="s">
        <v>587</v>
      </c>
    </row>
    <row r="15" spans="1:3" x14ac:dyDescent="0.15">
      <c r="A15" s="5" t="s">
        <v>560</v>
      </c>
      <c r="B15" s="5" t="s">
        <v>459</v>
      </c>
      <c r="C15" s="5">
        <v>2</v>
      </c>
    </row>
    <row r="16" spans="1:3" x14ac:dyDescent="0.15">
      <c r="A16" s="5" t="s">
        <v>566</v>
      </c>
      <c r="B16" s="5" t="s">
        <v>462</v>
      </c>
      <c r="C16" s="5" t="s">
        <v>587</v>
      </c>
    </row>
    <row r="17" spans="1:3" x14ac:dyDescent="0.15">
      <c r="A17" s="5" t="s">
        <v>566</v>
      </c>
      <c r="B17" s="5" t="s">
        <v>464</v>
      </c>
      <c r="C17" s="5" t="s">
        <v>587</v>
      </c>
    </row>
    <row r="18" spans="1:3" x14ac:dyDescent="0.15">
      <c r="A18" s="5" t="s">
        <v>566</v>
      </c>
      <c r="B18" s="5" t="s">
        <v>466</v>
      </c>
      <c r="C18" s="5" t="s">
        <v>587</v>
      </c>
    </row>
    <row r="19" spans="1:3" x14ac:dyDescent="0.15">
      <c r="A19" s="5" t="s">
        <v>565</v>
      </c>
      <c r="B19" s="5" t="s">
        <v>468</v>
      </c>
      <c r="C19" s="5" t="s">
        <v>587</v>
      </c>
    </row>
    <row r="20" spans="1:3" x14ac:dyDescent="0.15">
      <c r="A20" s="5" t="s">
        <v>565</v>
      </c>
      <c r="B20" s="5" t="s">
        <v>470</v>
      </c>
      <c r="C20" s="5" t="s">
        <v>587</v>
      </c>
    </row>
    <row r="21" spans="1:3" x14ac:dyDescent="0.15">
      <c r="A21" s="5" t="s">
        <v>565</v>
      </c>
      <c r="B21" s="5" t="s">
        <v>472</v>
      </c>
      <c r="C21" s="5" t="s">
        <v>587</v>
      </c>
    </row>
  </sheetData>
  <autoFilter ref="A1:C1" xr:uid="{00000000-0009-0000-0000-00000A000000}"/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30" sqref="I30"/>
    </sheetView>
  </sheetViews>
  <sheetFormatPr defaultRowHeight="13.5" x14ac:dyDescent="0.15"/>
  <cols>
    <col min="1" max="1" width="12.375" customWidth="1"/>
    <col min="2" max="2" width="11" customWidth="1"/>
    <col min="3" max="4" width="12.375" customWidth="1"/>
    <col min="5" max="5" width="11" customWidth="1"/>
    <col min="6" max="8" width="12.375" customWidth="1"/>
    <col min="9" max="10" width="14.5" customWidth="1"/>
    <col min="11" max="12" width="18.75" customWidth="1"/>
    <col min="13" max="13" width="22.875" customWidth="1"/>
    <col min="14" max="14" width="12.375" customWidth="1"/>
    <col min="15" max="15" width="24" customWidth="1"/>
    <col min="16" max="16" width="14.5" customWidth="1"/>
    <col min="17" max="17" width="18.75" customWidth="1"/>
    <col min="18" max="18" width="11" customWidth="1"/>
  </cols>
  <sheetData>
    <row r="1" spans="1:18" ht="32.1" customHeight="1" x14ac:dyDescent="0.15">
      <c r="A1" s="8" t="s">
        <v>0</v>
      </c>
      <c r="B1" s="8" t="s">
        <v>1</v>
      </c>
      <c r="C1" s="8" t="s">
        <v>590</v>
      </c>
      <c r="D1" s="8" t="s">
        <v>591</v>
      </c>
      <c r="E1" s="8" t="s">
        <v>7</v>
      </c>
      <c r="F1" s="8" t="s">
        <v>8</v>
      </c>
      <c r="G1" s="8" t="s">
        <v>592</v>
      </c>
      <c r="H1" s="8" t="s">
        <v>593</v>
      </c>
      <c r="I1" s="8" t="s">
        <v>18</v>
      </c>
      <c r="J1" s="8" t="s">
        <v>484</v>
      </c>
      <c r="K1" s="8" t="s">
        <v>594</v>
      </c>
      <c r="L1" s="8" t="s">
        <v>487</v>
      </c>
      <c r="M1" s="8" t="s">
        <v>595</v>
      </c>
      <c r="N1" s="8" t="s">
        <v>596</v>
      </c>
      <c r="O1" s="8" t="s">
        <v>199</v>
      </c>
      <c r="P1" s="8" t="s">
        <v>6</v>
      </c>
      <c r="Q1" s="8" t="s">
        <v>597</v>
      </c>
      <c r="R1" s="8" t="s">
        <v>20</v>
      </c>
    </row>
    <row r="2" spans="1:18" x14ac:dyDescent="0.15">
      <c r="A2" s="5" t="str">
        <f>IFERROR(機器マスタ!A2&amp;"","")</f>
        <v>A1403</v>
      </c>
      <c r="B2" s="5" t="str">
        <f>IFERROR(VLOOKUP($A2,機器マスタ!$A:$U,2,FALSE)&amp;"","")</f>
        <v>スーパーテクトロン HX606</v>
      </c>
      <c r="C2" s="5" t="str">
        <f>IFERROR(VLOOKUP($A2,機器マスタ!$A:$U,4,FALSE)&amp;"","")</f>
        <v>高周波</v>
      </c>
      <c r="D2" s="5" t="str">
        <f>IFERROR(VLOOKUP($A2,機器マスタ!$A:$U,6,FALSE)&amp;"","")</f>
        <v>テクノリンク</v>
      </c>
      <c r="E2" s="5" t="str">
        <f>IFERROR(VLOOKUP($A2,機器マスタ!$A:$U,8,FALSE)&amp;"","")</f>
        <v>HX606</v>
      </c>
      <c r="F2" s="5" t="str">
        <f>IFERROR(VLOOKUP($A2,機器マスタ!$A:$U,9,FALSE)&amp;"","")</f>
        <v>420854N</v>
      </c>
      <c r="G2" s="5" t="str">
        <f>IFERROR(VLOOKUP($A2,機器マスタ!$A:$U,15,FALSE)&amp;"","")</f>
        <v>理学診療部</v>
      </c>
      <c r="H2" s="5" t="str">
        <f>IFERROR(VLOOKUP($A2,機器マスタ!$A:$U,17,FALSE)&amp;"","")</f>
        <v>リハビリ室</v>
      </c>
      <c r="I2" s="5" t="str">
        <f>IFERROR(VLOOKUP($A2,機器マスタ!$A:$U,19,FALSE)&amp;"","")</f>
        <v>稼働中</v>
      </c>
      <c r="J2" s="6">
        <f>IF(SUMPRODUCT(MAX((医療機器履歴!$B$2:$B$500=$A2)*(医療機器履歴!$C$2:$C$500="ACT002")*医療機器履歴!$I$2:$I$500))=0,"",SUMPRODUCT(MAX((医療機器履歴!$B$2:$B$500=$A2)*(医療機器履歴!$C$2:$C$500="ACT002")*医療機器履歴!$I$2:$I$500)))</f>
        <v>46272</v>
      </c>
      <c r="K2" s="6">
        <f>IFERROR(IF($J2="","",EDATE($J2,VLOOKUP(VLOOKUP($A2,機器マスタ!$A:$U,3,FALSE),機器区分マスタ!$A:$G,6,FALSE))),"")</f>
        <v>46302</v>
      </c>
      <c r="L2" s="6" t="str">
        <f>IF(SUMPRODUCT(MAX((医療機器履歴!$B$2:$B$500=$A2)*(医療機器履歴!$C$2:$C$500="ACT003")*医療機器履歴!$I$2:$I$500))=0,"",SUMPRODUCT(MAX((医療機器履歴!$B$2:$B$500=$A2)*(医療機器履歴!$C$2:$C$500="ACT003")*医療機器履歴!$I$2:$I$500)))</f>
        <v/>
      </c>
      <c r="M2" s="6" t="str">
        <f>IFERROR(IF(OR($L2="",N(VLOOKUP(VLOOKUP($A2,機器マスタ!$A:$U,3,FALSE),機器区分マスタ!$A:$G,7,FALSE))=0),"",EDATE($L2,VLOOKUP(VLOOKUP($A2,機器マスタ!$A:$U,3,FALSE),機器区分マスタ!$A:$G,7,FALSE))),"")</f>
        <v/>
      </c>
      <c r="N2" s="9">
        <f ca="1">IFERROR(DATEDIF(VLOOKUP($A2,機器マスタ!$A:$U,11,FALSE),TODAY(),"Y"),"")</f>
        <v>15</v>
      </c>
      <c r="O2" s="5" t="str">
        <f>IFERROR(VLOOKUP(VLOOKUP($A2,機器マスタ!$A:$U,3,FALSE),機器区分マスタ!$A:$C,3,FALSE)&amp;"","")</f>
        <v>〇</v>
      </c>
      <c r="P2" s="5" t="str">
        <f>IFERROR(VLOOKUP($A2,機器マスタ!$A:$U,7,FALSE)&amp;"","")</f>
        <v>Ⅱ</v>
      </c>
      <c r="Q2" s="5" t="str">
        <f>IFERROR(VLOOKUP($A2,機器マスタ!$A:$U,20,FALSE)&amp;"","")</f>
        <v>BOX0001</v>
      </c>
      <c r="R2" s="5" t="str">
        <f>IFERROR(VLOOKUP($A2,機器マスタ!$A:$U,21,FALSE)&amp;"","")</f>
        <v>取説あり</v>
      </c>
    </row>
    <row r="3" spans="1:18" x14ac:dyDescent="0.15">
      <c r="A3" s="5" t="str">
        <f>IFERROR(機器マスタ!A3&amp;"","")</f>
        <v>A1409</v>
      </c>
      <c r="B3" s="5" t="str">
        <f>IFERROR(VLOOKUP($A3,機器マスタ!$A:$U,2,FALSE)&amp;"","")</f>
        <v>診察台 EX-SD2S</v>
      </c>
      <c r="C3" s="5" t="str">
        <f>IFERROR(VLOOKUP($A3,機器マスタ!$A:$U,4,FALSE)&amp;"","")</f>
        <v>診察台（電動式）</v>
      </c>
      <c r="D3" s="5" t="str">
        <f>IFERROR(VLOOKUP($A3,機器マスタ!$A:$U,6,FALSE)&amp;"","")</f>
        <v>タカラベルモント</v>
      </c>
      <c r="E3" s="5" t="str">
        <f>IFERROR(VLOOKUP($A3,機器マスタ!$A:$U,8,FALSE)&amp;"","")</f>
        <v>EX-SD2S</v>
      </c>
      <c r="F3" s="5" t="str">
        <f>IFERROR(VLOOKUP($A3,機器マスタ!$A:$U,9,FALSE)&amp;"","")</f>
        <v>BA13D0204</v>
      </c>
      <c r="G3" s="5" t="str">
        <f>IFERROR(VLOOKUP($A3,機器マスタ!$A:$U,15,FALSE)&amp;"","")</f>
        <v>理学診療部</v>
      </c>
      <c r="H3" s="5" t="str">
        <f>IFERROR(VLOOKUP($A3,機器マスタ!$A:$U,17,FALSE)&amp;"","")</f>
        <v>リハビリ室</v>
      </c>
      <c r="I3" s="5" t="str">
        <f>IFERROR(VLOOKUP($A3,機器マスタ!$A:$U,19,FALSE)&amp;"","")</f>
        <v>稼働中</v>
      </c>
      <c r="J3" s="6">
        <f>IF(SUMPRODUCT(MAX((医療機器履歴!$B$2:$B$500=$A3)*(医療機器履歴!$C$2:$C$500="ACT002")*医療機器履歴!$I$2:$I$500))=0,"",SUMPRODUCT(MAX((医療機器履歴!$B$2:$B$500=$A3)*(医療機器履歴!$C$2:$C$500="ACT002")*医療機器履歴!$I$2:$I$500)))</f>
        <v>46153</v>
      </c>
      <c r="K3" s="6">
        <f>IFERROR(IF($J3="","",EDATE($J3,VLOOKUP(VLOOKUP($A3,機器マスタ!$A:$U,3,FALSE),機器区分マスタ!$A:$G,6,FALSE))),"")</f>
        <v>46337</v>
      </c>
      <c r="L3" s="6" t="str">
        <f>IF(SUMPRODUCT(MAX((医療機器履歴!$B$2:$B$500=$A3)*(医療機器履歴!$C$2:$C$500="ACT003")*医療機器履歴!$I$2:$I$500))=0,"",SUMPRODUCT(MAX((医療機器履歴!$B$2:$B$500=$A3)*(医療機器履歴!$C$2:$C$500="ACT003")*医療機器履歴!$I$2:$I$500)))</f>
        <v/>
      </c>
      <c r="M3" s="6" t="str">
        <f>IFERROR(IF(OR($L3="",N(VLOOKUP(VLOOKUP($A3,機器マスタ!$A:$U,3,FALSE),機器区分マスタ!$A:$G,7,FALSE))=0),"",EDATE($L3,VLOOKUP(VLOOKUP($A3,機器マスタ!$A:$U,3,FALSE),機器区分マスタ!$A:$G,7,FALSE))),"")</f>
        <v/>
      </c>
      <c r="N3" s="9">
        <f ca="1">IFERROR(DATEDIF(VLOOKUP($A3,機器マスタ!$A:$U,11,FALSE),TODAY(),"Y"),"")</f>
        <v>15</v>
      </c>
      <c r="O3" s="5" t="str">
        <f>IFERROR(VLOOKUP(VLOOKUP($A3,機器マスタ!$A:$U,3,FALSE),機器区分マスタ!$A:$C,3,FALSE)&amp;"","")</f>
        <v/>
      </c>
      <c r="P3" s="5" t="str">
        <f>IFERROR(VLOOKUP($A3,機器マスタ!$A:$U,7,FALSE)&amp;"","")</f>
        <v>Ⅰ</v>
      </c>
      <c r="Q3" s="5" t="str">
        <f>IFERROR(VLOOKUP($A3,機器マスタ!$A:$U,20,FALSE)&amp;"","")</f>
        <v>BOX0002</v>
      </c>
      <c r="R3" s="5" t="str">
        <f>IFERROR(VLOOKUP($A3,機器マスタ!$A:$U,21,FALSE)&amp;"","")</f>
        <v>取説あり</v>
      </c>
    </row>
    <row r="4" spans="1:18" x14ac:dyDescent="0.15">
      <c r="A4" s="5" t="str">
        <f>IFERROR(機器マスタ!A4&amp;"","")</f>
        <v>A1704</v>
      </c>
      <c r="B4" s="5" t="str">
        <f>IFERROR(VLOOKUP($A4,機器マスタ!$A:$U,2,FALSE)&amp;"","")</f>
        <v>電子血圧計 CH-453F</v>
      </c>
      <c r="C4" s="5" t="str">
        <f>IFERROR(VLOOKUP($A4,機器マスタ!$A:$U,4,FALSE)&amp;"","")</f>
        <v>電子血圧計</v>
      </c>
      <c r="D4" s="5" t="str">
        <f>IFERROR(VLOOKUP($A4,機器マスタ!$A:$U,6,FALSE)&amp;"","")</f>
        <v>シチズン</v>
      </c>
      <c r="E4" s="5" t="str">
        <f>IFERROR(VLOOKUP($A4,機器マスタ!$A:$U,8,FALSE)&amp;"","")</f>
        <v>CH-453F</v>
      </c>
      <c r="F4" s="5" t="str">
        <f>IFERROR(VLOOKUP($A4,機器マスタ!$A:$U,9,FALSE)&amp;"","")</f>
        <v>22991</v>
      </c>
      <c r="G4" s="5" t="str">
        <f>IFERROR(VLOOKUP($A4,機器マスタ!$A:$U,15,FALSE)&amp;"","")</f>
        <v>理学診療部</v>
      </c>
      <c r="H4" s="5" t="str">
        <f>IFERROR(VLOOKUP($A4,機器マスタ!$A:$U,17,FALSE)&amp;"","")</f>
        <v>リハビリ室</v>
      </c>
      <c r="I4" s="5" t="str">
        <f>IFERROR(VLOOKUP($A4,機器マスタ!$A:$U,19,FALSE)&amp;"","")</f>
        <v>故障中</v>
      </c>
      <c r="J4" s="6">
        <f>IF(SUMPRODUCT(MAX((医療機器履歴!$B$2:$B$500=$A4)*(医療機器履歴!$C$2:$C$500="ACT002")*医療機器履歴!$I$2:$I$500))=0,"",SUMPRODUCT(MAX((医療機器履歴!$B$2:$B$500=$A4)*(医療機器履歴!$C$2:$C$500="ACT002")*医療機器履歴!$I$2:$I$500)))</f>
        <v>46069</v>
      </c>
      <c r="K4" s="6">
        <f>IFERROR(IF($J4="","",EDATE($J4,VLOOKUP(VLOOKUP($A4,機器マスタ!$A:$U,3,FALSE),機器区分マスタ!$A:$G,6,FALSE))),"")</f>
        <v>46097</v>
      </c>
      <c r="L4" s="6" t="str">
        <f>IF(SUMPRODUCT(MAX((医療機器履歴!$B$2:$B$500=$A4)*(医療機器履歴!$C$2:$C$500="ACT003")*医療機器履歴!$I$2:$I$500))=0,"",SUMPRODUCT(MAX((医療機器履歴!$B$2:$B$500=$A4)*(医療機器履歴!$C$2:$C$500="ACT003")*医療機器履歴!$I$2:$I$500)))</f>
        <v/>
      </c>
      <c r="M4" s="6" t="str">
        <f>IFERROR(IF(OR($L4="",N(VLOOKUP(VLOOKUP($A4,機器マスタ!$A:$U,3,FALSE),機器区分マスタ!$A:$G,7,FALSE))=0),"",EDATE($L4,VLOOKUP(VLOOKUP($A4,機器マスタ!$A:$U,3,FALSE),機器区分マスタ!$A:$G,7,FALSE))),"")</f>
        <v/>
      </c>
      <c r="N4" s="9">
        <f ca="1">IFERROR(DATEDIF(VLOOKUP($A4,機器マスタ!$A:$U,11,FALSE),TODAY(),"Y"),"")</f>
        <v>12</v>
      </c>
      <c r="O4" s="5" t="str">
        <f>IFERROR(VLOOKUP(VLOOKUP($A4,機器マスタ!$A:$U,3,FALSE),機器区分マスタ!$A:$C,3,FALSE)&amp;"","")</f>
        <v>〇</v>
      </c>
      <c r="P4" s="5" t="str">
        <f>IFERROR(VLOOKUP($A4,機器マスタ!$A:$U,7,FALSE)&amp;"","")</f>
        <v>Ⅱ</v>
      </c>
      <c r="Q4" s="5" t="str">
        <f>IFERROR(VLOOKUP($A4,機器マスタ!$A:$U,20,FALSE)&amp;"","")</f>
        <v>BOX0003</v>
      </c>
      <c r="R4" s="5" t="str">
        <f>IFERROR(VLOOKUP($A4,機器マスタ!$A:$U,21,FALSE)&amp;"","")</f>
        <v/>
      </c>
    </row>
    <row r="5" spans="1:18" x14ac:dyDescent="0.15">
      <c r="A5" s="5" t="str">
        <f>IFERROR(機器マスタ!A5&amp;"","")</f>
        <v>A1706</v>
      </c>
      <c r="B5" s="5" t="str">
        <f>IFERROR(VLOOKUP($A5,機器マスタ!$A:$U,2,FALSE)&amp;"","")</f>
        <v>握力計 GRIP D</v>
      </c>
      <c r="C5" s="5" t="str">
        <f>IFERROR(VLOOKUP($A5,機器マスタ!$A:$U,4,FALSE)&amp;"","")</f>
        <v>電子握力計</v>
      </c>
      <c r="D5" s="5" t="str">
        <f>IFERROR(VLOOKUP($A5,機器マスタ!$A:$U,6,FALSE)&amp;"","")</f>
        <v>竹井機器工業</v>
      </c>
      <c r="E5" s="5" t="str">
        <f>IFERROR(VLOOKUP($A5,機器マスタ!$A:$U,8,FALSE)&amp;"","")</f>
        <v>GRIP-D</v>
      </c>
      <c r="F5" s="5" t="str">
        <f>IFERROR(VLOOKUP($A5,機器マスタ!$A:$U,9,FALSE)&amp;"","")</f>
        <v>73180072</v>
      </c>
      <c r="G5" s="5" t="str">
        <f>IFERROR(VLOOKUP($A5,機器マスタ!$A:$U,15,FALSE)&amp;"","")</f>
        <v>理学診療部</v>
      </c>
      <c r="H5" s="5" t="str">
        <f>IFERROR(VLOOKUP($A5,機器マスタ!$A:$U,17,FALSE)&amp;"","")</f>
        <v>リハビリ室</v>
      </c>
      <c r="I5" s="5" t="str">
        <f>IFERROR(VLOOKUP($A5,機器マスタ!$A:$U,19,FALSE)&amp;"","")</f>
        <v>稼働中</v>
      </c>
      <c r="J5" s="6">
        <f>IF(SUMPRODUCT(MAX((医療機器履歴!$B$2:$B$500=$A5)*(医療機器履歴!$C$2:$C$500="ACT002")*医療機器履歴!$I$2:$I$500))=0,"",SUMPRODUCT(MAX((医療機器履歴!$B$2:$B$500=$A5)*(医療機器履歴!$C$2:$C$500="ACT002")*医療機器履歴!$I$2:$I$500)))</f>
        <v>46188</v>
      </c>
      <c r="K5" s="6">
        <f>IFERROR(IF($J5="","",EDATE($J5,VLOOKUP(VLOOKUP($A5,機器マスタ!$A:$U,3,FALSE),機器区分マスタ!$A:$G,6,FALSE))),"")</f>
        <v>46553</v>
      </c>
      <c r="L5" s="6" t="str">
        <f>IF(SUMPRODUCT(MAX((医療機器履歴!$B$2:$B$500=$A5)*(医療機器履歴!$C$2:$C$500="ACT003")*医療機器履歴!$I$2:$I$500))=0,"",SUMPRODUCT(MAX((医療機器履歴!$B$2:$B$500=$A5)*(医療機器履歴!$C$2:$C$500="ACT003")*医療機器履歴!$I$2:$I$500)))</f>
        <v/>
      </c>
      <c r="M5" s="6" t="str">
        <f>IFERROR(IF(OR($L5="",N(VLOOKUP(VLOOKUP($A5,機器マスタ!$A:$U,3,FALSE),機器区分マスタ!$A:$G,7,FALSE))=0),"",EDATE($L5,VLOOKUP(VLOOKUP($A5,機器マスタ!$A:$U,3,FALSE),機器区分マスタ!$A:$G,7,FALSE))),"")</f>
        <v/>
      </c>
      <c r="N5" s="9">
        <f ca="1">IFERROR(DATEDIF(VLOOKUP($A5,機器マスタ!$A:$U,11,FALSE),TODAY(),"Y"),"")</f>
        <v>12</v>
      </c>
      <c r="O5" s="5" t="str">
        <f>IFERROR(VLOOKUP(VLOOKUP($A5,機器マスタ!$A:$U,3,FALSE),機器区分マスタ!$A:$C,3,FALSE)&amp;"","")</f>
        <v/>
      </c>
      <c r="P5" s="5" t="str">
        <f>IFERROR(VLOOKUP($A5,機器マスタ!$A:$U,7,FALSE)&amp;"","")</f>
        <v/>
      </c>
      <c r="Q5" s="5" t="str">
        <f>IFERROR(VLOOKUP($A5,機器マスタ!$A:$U,20,FALSE)&amp;"","")</f>
        <v>BOX0004</v>
      </c>
      <c r="R5" s="5" t="str">
        <f>IFERROR(VLOOKUP($A5,機器マスタ!$A:$U,21,FALSE)&amp;"","")</f>
        <v/>
      </c>
    </row>
    <row r="6" spans="1:18" x14ac:dyDescent="0.15">
      <c r="A6" s="5" t="str">
        <f>IFERROR(機器マスタ!A6&amp;"","")</f>
        <v>A1708</v>
      </c>
      <c r="B6" s="5" t="str">
        <f>IFERROR(VLOOKUP($A6,機器マスタ!$A:$U,2,FALSE)&amp;"","")</f>
        <v>電子体温計 MC-674</v>
      </c>
      <c r="C6" s="5" t="str">
        <f>IFERROR(VLOOKUP($A6,機器マスタ!$A:$U,4,FALSE)&amp;"","")</f>
        <v>電子体温計</v>
      </c>
      <c r="D6" s="5" t="str">
        <f>IFERROR(VLOOKUP($A6,機器マスタ!$A:$U,6,FALSE)&amp;"","")</f>
        <v>オムロン</v>
      </c>
      <c r="E6" s="5" t="str">
        <f>IFERROR(VLOOKUP($A6,機器マスタ!$A:$U,8,FALSE)&amp;"","")</f>
        <v>MC-674</v>
      </c>
      <c r="F6" s="5" t="str">
        <f>IFERROR(VLOOKUP($A6,機器マスタ!$A:$U,9,FALSE)&amp;"","")</f>
        <v>221AGBZX00103000</v>
      </c>
      <c r="G6" s="5" t="str">
        <f>IFERROR(VLOOKUP($A6,機器マスタ!$A:$U,15,FALSE)&amp;"","")</f>
        <v>理学診療部</v>
      </c>
      <c r="H6" s="5" t="str">
        <f>IFERROR(VLOOKUP($A6,機器マスタ!$A:$U,17,FALSE)&amp;"","")</f>
        <v>リハビリ室</v>
      </c>
      <c r="I6" s="5" t="str">
        <f>IFERROR(VLOOKUP($A6,機器マスタ!$A:$U,19,FALSE)&amp;"","")</f>
        <v>稼働中</v>
      </c>
      <c r="J6" s="6">
        <f>IF(SUMPRODUCT(MAX((医療機器履歴!$B$2:$B$500=$A6)*(医療機器履歴!$C$2:$C$500="ACT002")*医療機器履歴!$I$2:$I$500))=0,"",SUMPRODUCT(MAX((医療機器履歴!$B$2:$B$500=$A6)*(医療機器履歴!$C$2:$C$500="ACT002")*医療機器履歴!$I$2:$I$500)))</f>
        <v>46062</v>
      </c>
      <c r="K6" s="6">
        <f>IFERROR(IF($J6="","",EDATE($J6,VLOOKUP(VLOOKUP($A6,機器マスタ!$A:$U,3,FALSE),機器区分マスタ!$A:$G,6,FALSE))),"")</f>
        <v>46427</v>
      </c>
      <c r="L6" s="6" t="str">
        <f>IF(SUMPRODUCT(MAX((医療機器履歴!$B$2:$B$500=$A6)*(医療機器履歴!$C$2:$C$500="ACT003")*医療機器履歴!$I$2:$I$500))=0,"",SUMPRODUCT(MAX((医療機器履歴!$B$2:$B$500=$A6)*(医療機器履歴!$C$2:$C$500="ACT003")*医療機器履歴!$I$2:$I$500)))</f>
        <v/>
      </c>
      <c r="M6" s="6" t="str">
        <f>IFERROR(IF(OR($L6="",N(VLOOKUP(VLOOKUP($A6,機器マスタ!$A:$U,3,FALSE),機器区分マスタ!$A:$G,7,FALSE))=0),"",EDATE($L6,VLOOKUP(VLOOKUP($A6,機器マスタ!$A:$U,3,FALSE),機器区分マスタ!$A:$G,7,FALSE))),"")</f>
        <v/>
      </c>
      <c r="N6" s="9">
        <f ca="1">IFERROR(DATEDIF(VLOOKUP($A6,機器マスタ!$A:$U,11,FALSE),TODAY(),"Y"),"")</f>
        <v>12</v>
      </c>
      <c r="O6" s="5" t="str">
        <f>IFERROR(VLOOKUP(VLOOKUP($A6,機器マスタ!$A:$U,3,FALSE),機器区分マスタ!$A:$C,3,FALSE)&amp;"","")</f>
        <v>〇</v>
      </c>
      <c r="P6" s="5" t="str">
        <f>IFERROR(VLOOKUP($A6,機器マスタ!$A:$U,7,FALSE)&amp;"","")</f>
        <v>Ⅱ</v>
      </c>
      <c r="Q6" s="5" t="str">
        <f>IFERROR(VLOOKUP($A6,機器マスタ!$A:$U,20,FALSE)&amp;"","")</f>
        <v>BOX0005</v>
      </c>
      <c r="R6" s="5" t="str">
        <f>IFERROR(VLOOKUP($A6,機器マスタ!$A:$U,21,FALSE)&amp;"","")</f>
        <v/>
      </c>
    </row>
    <row r="7" spans="1:18" x14ac:dyDescent="0.15">
      <c r="A7" s="5" t="str">
        <f>IFERROR(機器マスタ!A7&amp;"","")</f>
        <v>A1725</v>
      </c>
      <c r="B7" s="5" t="str">
        <f>IFERROR(VLOOKUP($A7,機器マスタ!$A:$U,2,FALSE)&amp;"","")</f>
        <v>CORDLESS BIKE V77i</v>
      </c>
      <c r="C7" s="5" t="str">
        <f>IFERROR(VLOOKUP($A7,機器マスタ!$A:$U,4,FALSE)&amp;"","")</f>
        <v>エルゴメーター</v>
      </c>
      <c r="D7" s="5" t="str">
        <f>IFERROR(VLOOKUP($A7,機器マスタ!$A:$U,6,FALSE)&amp;"","")</f>
        <v>セノー</v>
      </c>
      <c r="E7" s="5" t="str">
        <f>IFERROR(VLOOKUP($A7,機器マスタ!$A:$U,8,FALSE)&amp;"","")</f>
        <v>V77i</v>
      </c>
      <c r="F7" s="5" t="str">
        <f>IFERROR(VLOOKUP($A7,機器マスタ!$A:$U,9,FALSE)&amp;"","")</f>
        <v>BG862M30-302011051</v>
      </c>
      <c r="G7" s="5" t="str">
        <f>IFERROR(VLOOKUP($A7,機器マスタ!$A:$U,15,FALSE)&amp;"","")</f>
        <v>理学診療部</v>
      </c>
      <c r="H7" s="5" t="str">
        <f>IFERROR(VLOOKUP($A7,機器マスタ!$A:$U,17,FALSE)&amp;"","")</f>
        <v>リハビリ室</v>
      </c>
      <c r="I7" s="5" t="str">
        <f>IFERROR(VLOOKUP($A7,機器マスタ!$A:$U,19,FALSE)&amp;"","")</f>
        <v>稼働中</v>
      </c>
      <c r="J7" s="6">
        <f>IF(SUMPRODUCT(MAX((医療機器履歴!$B$2:$B$500=$A7)*(医療機器履歴!$C$2:$C$500="ACT002")*医療機器履歴!$I$2:$I$500))=0,"",SUMPRODUCT(MAX((医療機器履歴!$B$2:$B$500=$A7)*(医療機器履歴!$C$2:$C$500="ACT002")*医療機器履歴!$I$2:$I$500)))</f>
        <v>46167</v>
      </c>
      <c r="K7" s="6">
        <f>IFERROR(IF($J7="","",EDATE($J7,VLOOKUP(VLOOKUP($A7,機器マスタ!$A:$U,3,FALSE),機器区分マスタ!$A:$G,6,FALSE))),"")</f>
        <v>46351</v>
      </c>
      <c r="L7" s="6" t="str">
        <f>IF(SUMPRODUCT(MAX((医療機器履歴!$B$2:$B$500=$A7)*(医療機器履歴!$C$2:$C$500="ACT003")*医療機器履歴!$I$2:$I$500))=0,"",SUMPRODUCT(MAX((医療機器履歴!$B$2:$B$500=$A7)*(医療機器履歴!$C$2:$C$500="ACT003")*医療機器履歴!$I$2:$I$500)))</f>
        <v/>
      </c>
      <c r="M7" s="6" t="str">
        <f>IFERROR(IF(OR($L7="",N(VLOOKUP(VLOOKUP($A7,機器マスタ!$A:$U,3,FALSE),機器区分マスタ!$A:$G,7,FALSE))=0),"",EDATE($L7,VLOOKUP(VLOOKUP($A7,機器マスタ!$A:$U,3,FALSE),機器区分マスタ!$A:$G,7,FALSE))),"")</f>
        <v/>
      </c>
      <c r="N7" s="9">
        <f ca="1">IFERROR(DATEDIF(VLOOKUP($A7,機器マスタ!$A:$U,11,FALSE),TODAY(),"Y"),"")</f>
        <v>12</v>
      </c>
      <c r="O7" s="5" t="str">
        <f>IFERROR(VLOOKUP(VLOOKUP($A7,機器マスタ!$A:$U,3,FALSE),機器区分マスタ!$A:$C,3,FALSE)&amp;"","")</f>
        <v/>
      </c>
      <c r="P7" s="5" t="str">
        <f>IFERROR(VLOOKUP($A7,機器マスタ!$A:$U,7,FALSE)&amp;"","")</f>
        <v/>
      </c>
      <c r="Q7" s="5" t="str">
        <f>IFERROR(VLOOKUP($A7,機器マスタ!$A:$U,20,FALSE)&amp;"","")</f>
        <v>BOX0006</v>
      </c>
      <c r="R7" s="5" t="str">
        <f>IFERROR(VLOOKUP($A7,機器マスタ!$A:$U,21,FALSE)&amp;"","")</f>
        <v/>
      </c>
    </row>
    <row r="8" spans="1:18" x14ac:dyDescent="0.15">
      <c r="A8" s="5" t="str">
        <f>IFERROR(機器マスタ!A8&amp;"","")</f>
        <v>A1786</v>
      </c>
      <c r="B8" s="5" t="str">
        <f>IFERROR(VLOOKUP($A8,機器マスタ!$A:$U,2,FALSE)&amp;"","")</f>
        <v>RADspeed Pro</v>
      </c>
      <c r="C8" s="5" t="str">
        <f>IFERROR(VLOOKUP($A8,機器マスタ!$A:$U,4,FALSE)&amp;"","")</f>
        <v>X線発生装置</v>
      </c>
      <c r="D8" s="5" t="str">
        <f>IFERROR(VLOOKUP($A8,機器マスタ!$A:$U,6,FALSE)&amp;"","")</f>
        <v>島津製作所</v>
      </c>
      <c r="E8" s="5" t="str">
        <f>IFERROR(VLOOKUP($A8,機器マスタ!$A:$U,8,FALSE)&amp;"","")</f>
        <v>RADspeed-Pro</v>
      </c>
      <c r="F8" s="5" t="str">
        <f>IFERROR(VLOOKUP($A8,機器マスタ!$A:$U,9,FALSE)&amp;"","")</f>
        <v>41E215A73005</v>
      </c>
      <c r="G8" s="5" t="str">
        <f>IFERROR(VLOOKUP($A8,機器マスタ!$A:$U,15,FALSE)&amp;"","")</f>
        <v>画像検査部</v>
      </c>
      <c r="H8" s="5" t="str">
        <f>IFERROR(VLOOKUP($A8,機器マスタ!$A:$U,17,FALSE)&amp;"","")</f>
        <v>第1撮影室</v>
      </c>
      <c r="I8" s="5" t="str">
        <f>IFERROR(VLOOKUP($A8,機器マスタ!$A:$U,19,FALSE)&amp;"","")</f>
        <v>稼働中</v>
      </c>
      <c r="J8" s="6">
        <f>IF(SUMPRODUCT(MAX((医療機器履歴!$B$2:$B$500=$A8)*(医療機器履歴!$C$2:$C$500="ACT002")*医療機器履歴!$I$2:$I$500))=0,"",SUMPRODUCT(MAX((医療機器履歴!$B$2:$B$500=$A8)*(医療機器履歴!$C$2:$C$500="ACT002")*医療機器履歴!$I$2:$I$500)))</f>
        <v>46293</v>
      </c>
      <c r="K8" s="6">
        <f>IFERROR(IF($J8="","",EDATE($J8,VLOOKUP(VLOOKUP($A8,機器マスタ!$A:$U,3,FALSE),機器区分マスタ!$A:$G,6,FALSE))),"")</f>
        <v>46384</v>
      </c>
      <c r="L8" s="6" t="str">
        <f>IF(SUMPRODUCT(MAX((医療機器履歴!$B$2:$B$500=$A8)*(医療機器履歴!$C$2:$C$500="ACT003")*医療機器履歴!$I$2:$I$500))=0,"",SUMPRODUCT(MAX((医療機器履歴!$B$2:$B$500=$A8)*(医療機器履歴!$C$2:$C$500="ACT003")*医療機器履歴!$I$2:$I$500)))</f>
        <v/>
      </c>
      <c r="M8" s="6" t="str">
        <f>IFERROR(IF(OR($L8="",N(VLOOKUP(VLOOKUP($A8,機器マスタ!$A:$U,3,FALSE),機器区分マスタ!$A:$G,7,FALSE))=0),"",EDATE($L8,VLOOKUP(VLOOKUP($A8,機器マスタ!$A:$U,3,FALSE),機器区分マスタ!$A:$G,7,FALSE))),"")</f>
        <v/>
      </c>
      <c r="N8" s="9">
        <f ca="1">IFERROR(DATEDIF(VLOOKUP($A8,機器マスタ!$A:$U,11,FALSE),TODAY(),"Y"),"")</f>
        <v>9</v>
      </c>
      <c r="O8" s="5" t="str">
        <f>IFERROR(VLOOKUP(VLOOKUP($A8,機器マスタ!$A:$U,3,FALSE),機器区分マスタ!$A:$C,3,FALSE)&amp;"","")</f>
        <v>〇</v>
      </c>
      <c r="P8" s="5" t="str">
        <f>IFERROR(VLOOKUP($A8,機器マスタ!$A:$U,7,FALSE)&amp;"","")</f>
        <v>Ⅱ</v>
      </c>
      <c r="Q8" s="5" t="str">
        <f>IFERROR(VLOOKUP($A8,機器マスタ!$A:$U,20,FALSE)&amp;"","")</f>
        <v>BOX0007</v>
      </c>
      <c r="R8" s="5" t="str">
        <f>IFERROR(VLOOKUP($A8,機器マスタ!$A:$U,21,FALSE)&amp;"","")</f>
        <v>フルメンテ保守</v>
      </c>
    </row>
    <row r="9" spans="1:18" x14ac:dyDescent="0.15">
      <c r="A9" s="5" t="str">
        <f>IFERROR(機器マスタ!A9&amp;"","")</f>
        <v>A2034</v>
      </c>
      <c r="B9" s="5" t="str">
        <f>IFERROR(VLOOKUP($A9,機器マスタ!$A:$U,2,FALSE)&amp;"","")</f>
        <v>ベッドサイドモニタ PVM-2701</v>
      </c>
      <c r="C9" s="5" t="str">
        <f>IFERROR(VLOOKUP($A9,機器マスタ!$A:$U,4,FALSE)&amp;"","")</f>
        <v>生体情報モニタ（ﾍﾞｯﾄﾞｻｲﾄﾞﾓﾆﾀ）</v>
      </c>
      <c r="D9" s="5" t="str">
        <f>IFERROR(VLOOKUP($A9,機器マスタ!$A:$U,6,FALSE)&amp;"","")</f>
        <v>日本光電</v>
      </c>
      <c r="E9" s="5" t="str">
        <f>IFERROR(VLOOKUP($A9,機器マスタ!$A:$U,8,FALSE)&amp;"","")</f>
        <v>PVM-2701</v>
      </c>
      <c r="F9" s="5" t="str">
        <f>IFERROR(VLOOKUP($A9,機器マスタ!$A:$U,9,FALSE)&amp;"","")</f>
        <v>22300BZX00461000</v>
      </c>
      <c r="G9" s="5" t="str">
        <f>IFERROR(VLOOKUP($A9,機器マスタ!$A:$U,15,FALSE)&amp;"","")</f>
        <v>外来看護部</v>
      </c>
      <c r="H9" s="5" t="str">
        <f>IFERROR(VLOOKUP($A9,機器マスタ!$A:$U,17,FALSE)&amp;"","")</f>
        <v>検査室</v>
      </c>
      <c r="I9" s="5" t="str">
        <f>IFERROR(VLOOKUP($A9,機器マスタ!$A:$U,19,FALSE)&amp;"","")</f>
        <v>稼働中</v>
      </c>
      <c r="J9" s="6">
        <f>IF(SUMPRODUCT(MAX((医療機器履歴!$B$2:$B$500=$A9)*(医療機器履歴!$C$2:$C$500="ACT002")*医療機器履歴!$I$2:$I$500))=0,"",SUMPRODUCT(MAX((医療機器履歴!$B$2:$B$500=$A9)*(医療機器履歴!$C$2:$C$500="ACT002")*医療機器履歴!$I$2:$I$500)))</f>
        <v>46267</v>
      </c>
      <c r="K9" s="6">
        <f>IFERROR(IF($J9="","",EDATE($J9,VLOOKUP(VLOOKUP($A9,機器マスタ!$A:$U,3,FALSE),機器区分マスタ!$A:$G,6,FALSE))),"")</f>
        <v>46297</v>
      </c>
      <c r="L9" s="6" t="str">
        <f>IF(SUMPRODUCT(MAX((医療機器履歴!$B$2:$B$500=$A9)*(医療機器履歴!$C$2:$C$500="ACT003")*医療機器履歴!$I$2:$I$500))=0,"",SUMPRODUCT(MAX((医療機器履歴!$B$2:$B$500=$A9)*(医療機器履歴!$C$2:$C$500="ACT003")*医療機器履歴!$I$2:$I$500)))</f>
        <v/>
      </c>
      <c r="M9" s="6" t="str">
        <f>IFERROR(IF(OR($L9="",N(VLOOKUP(VLOOKUP($A9,機器マスタ!$A:$U,3,FALSE),機器区分マスタ!$A:$G,7,FALSE))=0),"",EDATE($L9,VLOOKUP(VLOOKUP($A9,機器マスタ!$A:$U,3,FALSE),機器区分マスタ!$A:$G,7,FALSE))),"")</f>
        <v/>
      </c>
      <c r="N9" s="9">
        <f ca="1">IFERROR(DATEDIF(VLOOKUP($A9,機器マスタ!$A:$U,11,FALSE),TODAY(),"Y"),"")</f>
        <v>8</v>
      </c>
      <c r="O9" s="5" t="str">
        <f>IFERROR(VLOOKUP(VLOOKUP($A9,機器マスタ!$A:$U,3,FALSE),機器区分マスタ!$A:$C,3,FALSE)&amp;"","")</f>
        <v>〇</v>
      </c>
      <c r="P9" s="5" t="str">
        <f>IFERROR(VLOOKUP($A9,機器マスタ!$A:$U,7,FALSE)&amp;"","")</f>
        <v>Ⅲ</v>
      </c>
      <c r="Q9" s="5" t="str">
        <f>IFERROR(VLOOKUP($A9,機器マスタ!$A:$U,20,FALSE)&amp;"","")</f>
        <v>BOX0008</v>
      </c>
      <c r="R9" s="5" t="str">
        <f>IFERROR(VLOOKUP($A9,機器マスタ!$A:$U,21,FALSE)&amp;"","")</f>
        <v/>
      </c>
    </row>
    <row r="10" spans="1:18" x14ac:dyDescent="0.15">
      <c r="A10" s="5" t="str">
        <f>IFERROR(機器マスタ!A10&amp;"","")</f>
        <v>A2269</v>
      </c>
      <c r="B10" s="5" t="str">
        <f>IFERROR(VLOOKUP($A10,機器マスタ!$A:$U,2,FALSE)&amp;"","")</f>
        <v>フィンガーチップパルスオキシメーター C25</v>
      </c>
      <c r="C10" s="5" t="str">
        <f>IFERROR(VLOOKUP($A10,機器マスタ!$A:$U,4,FALSE)&amp;"","")</f>
        <v>パルスオキシメーター</v>
      </c>
      <c r="D10" s="5" t="str">
        <f>IFERROR(VLOOKUP($A10,機器マスタ!$A:$U,6,FALSE)&amp;"","")</f>
        <v>フィンガルリンク</v>
      </c>
      <c r="E10" s="5" t="str">
        <f>IFERROR(VLOOKUP($A10,機器マスタ!$A:$U,8,FALSE)&amp;"","")</f>
        <v>C25</v>
      </c>
      <c r="F10" s="5" t="str">
        <f>IFERROR(VLOOKUP($A10,機器マスタ!$A:$U,9,FALSE)&amp;"","")</f>
        <v>1823449-00428</v>
      </c>
      <c r="G10" s="5" t="str">
        <f>IFERROR(VLOOKUP($A10,機器マスタ!$A:$U,15,FALSE)&amp;"","")</f>
        <v>理学診療部</v>
      </c>
      <c r="H10" s="5" t="str">
        <f>IFERROR(VLOOKUP($A10,機器マスタ!$A:$U,17,FALSE)&amp;"","")</f>
        <v>リハビリ室</v>
      </c>
      <c r="I10" s="5" t="str">
        <f>IFERROR(VLOOKUP($A10,機器マスタ!$A:$U,19,FALSE)&amp;"","")</f>
        <v>稼働中</v>
      </c>
      <c r="J10" s="6">
        <f>IF(SUMPRODUCT(MAX((医療機器履歴!$B$2:$B$500=$A10)*(医療機器履歴!$C$2:$C$500="ACT002")*医療機器履歴!$I$2:$I$500))=0,"",SUMPRODUCT(MAX((医療機器履歴!$B$2:$B$500=$A10)*(医療機器履歴!$C$2:$C$500="ACT002")*医療機器履歴!$I$2:$I$500)))</f>
        <v>46225</v>
      </c>
      <c r="K10" s="6">
        <f>IFERROR(IF($J10="","",EDATE($J10,VLOOKUP(VLOOKUP($A10,機器マスタ!$A:$U,3,FALSE),機器区分マスタ!$A:$G,6,FALSE))),"")</f>
        <v>46409</v>
      </c>
      <c r="L10" s="6" t="str">
        <f>IF(SUMPRODUCT(MAX((医療機器履歴!$B$2:$B$500=$A10)*(医療機器履歴!$C$2:$C$500="ACT003")*医療機器履歴!$I$2:$I$500))=0,"",SUMPRODUCT(MAX((医療機器履歴!$B$2:$B$500=$A10)*(医療機器履歴!$C$2:$C$500="ACT003")*医療機器履歴!$I$2:$I$500)))</f>
        <v/>
      </c>
      <c r="M10" s="6" t="str">
        <f>IFERROR(IF(OR($L10="",N(VLOOKUP(VLOOKUP($A10,機器マスタ!$A:$U,3,FALSE),機器区分マスタ!$A:$G,7,FALSE))=0),"",EDATE($L10,VLOOKUP(VLOOKUP($A10,機器マスタ!$A:$U,3,FALSE),機器区分マスタ!$A:$G,7,FALSE))),"")</f>
        <v/>
      </c>
      <c r="N10" s="9">
        <f ca="1">IFERROR(DATEDIF(VLOOKUP($A10,機器マスタ!$A:$U,11,FALSE),TODAY(),"Y"),"")</f>
        <v>8</v>
      </c>
      <c r="O10" s="5" t="str">
        <f>IFERROR(VLOOKUP(VLOOKUP($A10,機器マスタ!$A:$U,3,FALSE),機器区分マスタ!$A:$C,3,FALSE)&amp;"","")</f>
        <v/>
      </c>
      <c r="P10" s="5" t="str">
        <f>IFERROR(VLOOKUP($A10,機器マスタ!$A:$U,7,FALSE)&amp;"","")</f>
        <v/>
      </c>
      <c r="Q10" s="5" t="str">
        <f>IFERROR(VLOOKUP($A10,機器マスタ!$A:$U,20,FALSE)&amp;"","")</f>
        <v>BOX0009</v>
      </c>
      <c r="R10" s="5" t="str">
        <f>IFERROR(VLOOKUP($A10,機器マスタ!$A:$U,21,FALSE)&amp;"","")</f>
        <v/>
      </c>
    </row>
    <row r="11" spans="1:18" x14ac:dyDescent="0.15">
      <c r="A11" s="5" t="str">
        <f>IFERROR(機器マスタ!A11&amp;"","")</f>
        <v>A2320</v>
      </c>
      <c r="B11" s="5" t="str">
        <f>IFERROR(VLOOKUP($A11,機器マスタ!$A:$U,2,FALSE)&amp;"","")</f>
        <v>メディセーフフィットスマイル</v>
      </c>
      <c r="C11" s="5" t="str">
        <f>IFERROR(VLOOKUP($A11,機器マスタ!$A:$U,4,FALSE)&amp;"","")</f>
        <v>血糖測定器</v>
      </c>
      <c r="D11" s="5" t="str">
        <f>IFERROR(VLOOKUP($A11,機器マスタ!$A:$U,6,FALSE)&amp;"","")</f>
        <v>テルモ</v>
      </c>
      <c r="E11" s="5" t="str">
        <f>IFERROR(VLOOKUP($A11,機器マスタ!$A:$U,8,FALSE)&amp;"","")</f>
        <v>MS-FR201B</v>
      </c>
      <c r="F11" s="5" t="str">
        <f>IFERROR(VLOOKUP($A11,機器マスタ!$A:$U,9,FALSE)&amp;"","")</f>
        <v>190551</v>
      </c>
      <c r="G11" s="5" t="str">
        <f>IFERROR(VLOOKUP($A11,機器マスタ!$A:$U,15,FALSE)&amp;"","")</f>
        <v>外来看護部</v>
      </c>
      <c r="H11" s="5" t="str">
        <f>IFERROR(VLOOKUP($A11,機器マスタ!$A:$U,17,FALSE)&amp;"","")</f>
        <v>処置室</v>
      </c>
      <c r="I11" s="5" t="str">
        <f>IFERROR(VLOOKUP($A11,機器マスタ!$A:$U,19,FALSE)&amp;"","")</f>
        <v>稼働中</v>
      </c>
      <c r="J11" s="6">
        <f>IF(SUMPRODUCT(MAX((医療機器履歴!$B$2:$B$500=$A11)*(医療機器履歴!$C$2:$C$500="ACT002")*医療機器履歴!$I$2:$I$500))=0,"",SUMPRODUCT(MAX((医療機器履歴!$B$2:$B$500=$A11)*(医療機器履歴!$C$2:$C$500="ACT002")*医療機器履歴!$I$2:$I$500)))</f>
        <v>46281</v>
      </c>
      <c r="K11" s="6">
        <f>IFERROR(IF($J11="","",EDATE($J11,VLOOKUP(VLOOKUP($A11,機器マスタ!$A:$U,3,FALSE),機器区分マスタ!$A:$G,6,FALSE))),"")</f>
        <v>46311</v>
      </c>
      <c r="L11" s="6" t="str">
        <f>IF(SUMPRODUCT(MAX((医療機器履歴!$B$2:$B$500=$A11)*(医療機器履歴!$C$2:$C$500="ACT003")*医療機器履歴!$I$2:$I$500))=0,"",SUMPRODUCT(MAX((医療機器履歴!$B$2:$B$500=$A11)*(医療機器履歴!$C$2:$C$500="ACT003")*医療機器履歴!$I$2:$I$500)))</f>
        <v/>
      </c>
      <c r="M11" s="6" t="str">
        <f>IFERROR(IF(OR($L11="",N(VLOOKUP(VLOOKUP($A11,機器マスタ!$A:$U,3,FALSE),機器区分マスタ!$A:$G,7,FALSE))=0),"",EDATE($L11,VLOOKUP(VLOOKUP($A11,機器マスタ!$A:$U,3,FALSE),機器区分マスタ!$A:$G,7,FALSE))),"")</f>
        <v/>
      </c>
      <c r="N11" s="9">
        <f ca="1">IFERROR(DATEDIF(VLOOKUP($A11,機器マスタ!$A:$U,11,FALSE),TODAY(),"Y"),"")</f>
        <v>6</v>
      </c>
      <c r="O11" s="5" t="str">
        <f>IFERROR(VLOOKUP(VLOOKUP($A11,機器マスタ!$A:$U,3,FALSE),機器区分マスタ!$A:$C,3,FALSE)&amp;"","")</f>
        <v>〇</v>
      </c>
      <c r="P11" s="5" t="str">
        <f>IFERROR(VLOOKUP($A11,機器マスタ!$A:$U,7,FALSE)&amp;"","")</f>
        <v>Ⅲ</v>
      </c>
      <c r="Q11" s="5" t="str">
        <f>IFERROR(VLOOKUP($A11,機器マスタ!$A:$U,20,FALSE)&amp;"","")</f>
        <v>BOX0010</v>
      </c>
      <c r="R11" s="5" t="str">
        <f>IFERROR(VLOOKUP($A11,機器マスタ!$A:$U,21,FALSE)&amp;"","")</f>
        <v/>
      </c>
    </row>
    <row r="12" spans="1:18" x14ac:dyDescent="0.15">
      <c r="A12" s="5" t="str">
        <f>IFERROR(機器マスタ!A12&amp;"","")</f>
        <v>A2333</v>
      </c>
      <c r="B12" s="5" t="str">
        <f>IFERROR(VLOOKUP($A12,機器マスタ!$A:$U,2,FALSE)&amp;"","")</f>
        <v>ステレッチングex</v>
      </c>
      <c r="C12" s="5" t="str">
        <f>IFERROR(VLOOKUP($A12,機器マスタ!$A:$U,4,FALSE)&amp;"","")</f>
        <v>斜面台</v>
      </c>
      <c r="D12" s="5" t="str">
        <f>IFERROR(VLOOKUP($A12,機器マスタ!$A:$U,6,FALSE)&amp;"","")</f>
        <v>スカイライト</v>
      </c>
      <c r="E12" s="5" t="str">
        <f>IFERROR(VLOOKUP($A12,機器マスタ!$A:$U,8,FALSE)&amp;"","")</f>
        <v>ステレッチングex</v>
      </c>
      <c r="F12" s="5" t="str">
        <f>IFERROR(VLOOKUP($A12,機器マスタ!$A:$U,9,FALSE)&amp;"","")</f>
        <v>2107</v>
      </c>
      <c r="G12" s="5" t="str">
        <f>IFERROR(VLOOKUP($A12,機器マスタ!$A:$U,15,FALSE)&amp;"","")</f>
        <v>理学診療部</v>
      </c>
      <c r="H12" s="5" t="str">
        <f>IFERROR(VLOOKUP($A12,機器マスタ!$A:$U,17,FALSE)&amp;"","")</f>
        <v>リハビリ室</v>
      </c>
      <c r="I12" s="5" t="str">
        <f>IFERROR(VLOOKUP($A12,機器マスタ!$A:$U,19,FALSE)&amp;"","")</f>
        <v>稼働中</v>
      </c>
      <c r="J12" s="6" t="str">
        <f>IF(SUMPRODUCT(MAX((医療機器履歴!$B$2:$B$500=$A12)*(医療機器履歴!$C$2:$C$500="ACT002")*医療機器履歴!$I$2:$I$500))=0,"",SUMPRODUCT(MAX((医療機器履歴!$B$2:$B$500=$A12)*(医療機器履歴!$C$2:$C$500="ACT002")*医療機器履歴!$I$2:$I$500)))</f>
        <v/>
      </c>
      <c r="K12" s="6" t="str">
        <f>IFERROR(IF($J12="","",EDATE($J12,VLOOKUP(VLOOKUP($A12,機器マスタ!$A:$U,3,FALSE),機器区分マスタ!$A:$G,6,FALSE))),"")</f>
        <v/>
      </c>
      <c r="L12" s="6" t="str">
        <f>IF(SUMPRODUCT(MAX((医療機器履歴!$B$2:$B$500=$A12)*(医療機器履歴!$C$2:$C$500="ACT003")*医療機器履歴!$I$2:$I$500))=0,"",SUMPRODUCT(MAX((医療機器履歴!$B$2:$B$500=$A12)*(医療機器履歴!$C$2:$C$500="ACT003")*医療機器履歴!$I$2:$I$500)))</f>
        <v/>
      </c>
      <c r="M12" s="6" t="str">
        <f>IFERROR(IF(OR($L12="",N(VLOOKUP(VLOOKUP($A12,機器マスタ!$A:$U,3,FALSE),機器区分マスタ!$A:$G,7,FALSE))=0),"",EDATE($L12,VLOOKUP(VLOOKUP($A12,機器マスタ!$A:$U,3,FALSE),機器区分マスタ!$A:$G,7,FALSE))),"")</f>
        <v/>
      </c>
      <c r="N12" s="9">
        <f ca="1">IFERROR(DATEDIF(VLOOKUP($A12,機器マスタ!$A:$U,11,FALSE),TODAY(),"Y"),"")</f>
        <v>15</v>
      </c>
      <c r="O12" s="5" t="str">
        <f>IFERROR(VLOOKUP(VLOOKUP($A12,機器マスタ!$A:$U,3,FALSE),機器区分マスタ!$A:$C,3,FALSE)&amp;"","")</f>
        <v/>
      </c>
      <c r="P12" s="5" t="str">
        <f>IFERROR(VLOOKUP($A12,機器マスタ!$A:$U,7,FALSE)&amp;"","")</f>
        <v/>
      </c>
      <c r="Q12" s="5" t="str">
        <f>IFERROR(VLOOKUP($A12,機器マスタ!$A:$U,20,FALSE)&amp;"","")</f>
        <v>BOX0011</v>
      </c>
      <c r="R12" s="5" t="str">
        <f>IFERROR(VLOOKUP($A12,機器マスタ!$A:$U,21,FALSE)&amp;"","")</f>
        <v>2026/3に西船へ移設</v>
      </c>
    </row>
    <row r="13" spans="1:18" x14ac:dyDescent="0.15">
      <c r="A13" s="5" t="str">
        <f>IFERROR(機器マスタ!A13&amp;"","")</f>
        <v>A2487</v>
      </c>
      <c r="B13" s="5" t="str">
        <f>IFERROR(VLOOKUP($A13,機器マスタ!$A:$U,2,FALSE)&amp;"","")</f>
        <v>体重計</v>
      </c>
      <c r="C13" s="5" t="str">
        <f>IFERROR(VLOOKUP($A13,機器マスタ!$A:$U,4,FALSE)&amp;"","")</f>
        <v>体重計</v>
      </c>
      <c r="D13" s="5" t="str">
        <f>IFERROR(VLOOKUP($A13,機器マスタ!$A:$U,6,FALSE)&amp;"","")</f>
        <v>タニタ</v>
      </c>
      <c r="E13" s="5" t="str">
        <f>IFERROR(VLOOKUP($A13,機器マスタ!$A:$U,8,FALSE)&amp;"","")</f>
        <v>HD-660</v>
      </c>
      <c r="F13" s="5" t="str">
        <f>IFERROR(VLOOKUP($A13,機器マスタ!$A:$U,9,FALSE)&amp;"","")</f>
        <v>800929</v>
      </c>
      <c r="G13" s="5" t="str">
        <f>IFERROR(VLOOKUP($A13,機器マスタ!$A:$U,15,FALSE)&amp;"","")</f>
        <v>理学診療部</v>
      </c>
      <c r="H13" s="5" t="str">
        <f>IFERROR(VLOOKUP($A13,機器マスタ!$A:$U,17,FALSE)&amp;"","")</f>
        <v>リハビリ室</v>
      </c>
      <c r="I13" s="5" t="str">
        <f>IFERROR(VLOOKUP($A13,機器マスタ!$A:$U,19,FALSE)&amp;"","")</f>
        <v>稼働中</v>
      </c>
      <c r="J13" s="6">
        <f>IF(SUMPRODUCT(MAX((医療機器履歴!$B$2:$B$500=$A13)*(医療機器履歴!$C$2:$C$500="ACT002")*医療機器履歴!$I$2:$I$500))=0,"",SUMPRODUCT(MAX((医療機器履歴!$B$2:$B$500=$A13)*(医療機器履歴!$C$2:$C$500="ACT002")*医療機器履歴!$I$2:$I$500)))</f>
        <v>46041</v>
      </c>
      <c r="K13" s="6">
        <f>IFERROR(IF($J13="","",EDATE($J13,VLOOKUP(VLOOKUP($A13,機器マスタ!$A:$U,3,FALSE),機器区分マスタ!$A:$G,6,FALSE))),"")</f>
        <v>46406</v>
      </c>
      <c r="L13" s="6" t="str">
        <f>IF(SUMPRODUCT(MAX((医療機器履歴!$B$2:$B$500=$A13)*(医療機器履歴!$C$2:$C$500="ACT003")*医療機器履歴!$I$2:$I$500))=0,"",SUMPRODUCT(MAX((医療機器履歴!$B$2:$B$500=$A13)*(医療機器履歴!$C$2:$C$500="ACT003")*医療機器履歴!$I$2:$I$500)))</f>
        <v/>
      </c>
      <c r="M13" s="6" t="str">
        <f>IFERROR(IF(OR($L13="",N(VLOOKUP(VLOOKUP($A13,機器マスタ!$A:$U,3,FALSE),機器区分マスタ!$A:$G,7,FALSE))=0),"",EDATE($L13,VLOOKUP(VLOOKUP($A13,機器マスタ!$A:$U,3,FALSE),機器区分マスタ!$A:$G,7,FALSE))),"")</f>
        <v/>
      </c>
      <c r="N13" s="9">
        <f ca="1">IFERROR(DATEDIF(VLOOKUP($A13,機器マスタ!$A:$U,11,FALSE),TODAY(),"Y"),"")</f>
        <v>15</v>
      </c>
      <c r="O13" s="5" t="str">
        <f>IFERROR(VLOOKUP(VLOOKUP($A13,機器マスタ!$A:$U,3,FALSE),機器区分マスタ!$A:$C,3,FALSE)&amp;"","")</f>
        <v/>
      </c>
      <c r="P13" s="5" t="str">
        <f>IFERROR(VLOOKUP($A13,機器マスタ!$A:$U,7,FALSE)&amp;"","")</f>
        <v/>
      </c>
      <c r="Q13" s="5" t="str">
        <f>IFERROR(VLOOKUP($A13,機器マスタ!$A:$U,20,FALSE)&amp;"","")</f>
        <v>BOX0012</v>
      </c>
      <c r="R13" s="5" t="str">
        <f>IFERROR(VLOOKUP($A13,機器マスタ!$A:$U,21,FALSE)&amp;"","")</f>
        <v/>
      </c>
    </row>
    <row r="14" spans="1:18" x14ac:dyDescent="0.15">
      <c r="A14" s="5" t="str">
        <f>IFERROR(機器マスタ!A14&amp;"","")</f>
        <v>A2559</v>
      </c>
      <c r="B14" s="5" t="str">
        <f>IFERROR(VLOOKUP($A14,機器マスタ!$A:$U,2,FALSE)&amp;"","")</f>
        <v>カルジオライフ AED-3100</v>
      </c>
      <c r="C14" s="5" t="str">
        <f>IFERROR(VLOOKUP($A14,機器マスタ!$A:$U,4,FALSE)&amp;"","")</f>
        <v>AED</v>
      </c>
      <c r="D14" s="5" t="str">
        <f>IFERROR(VLOOKUP($A14,機器マスタ!$A:$U,6,FALSE)&amp;"","")</f>
        <v>日本光電</v>
      </c>
      <c r="E14" s="5" t="str">
        <f>IFERROR(VLOOKUP($A14,機器マスタ!$A:$U,8,FALSE)&amp;"","")</f>
        <v>AED-3100</v>
      </c>
      <c r="F14" s="5" t="str">
        <f>IFERROR(VLOOKUP($A14,機器マスタ!$A:$U,9,FALSE)&amp;"","")</f>
        <v>206995</v>
      </c>
      <c r="G14" s="5" t="str">
        <f>IFERROR(VLOOKUP($A14,機器マスタ!$A:$U,15,FALSE)&amp;"","")</f>
        <v>1F病棟</v>
      </c>
      <c r="H14" s="5" t="str">
        <f>IFERROR(VLOOKUP($A14,機器マスタ!$A:$U,17,FALSE)&amp;"","")</f>
        <v>ﾅｰｽｽﾃｰｼｮﾝ</v>
      </c>
      <c r="I14" s="5" t="str">
        <f>IFERROR(VLOOKUP($A14,機器マスタ!$A:$U,19,FALSE)&amp;"","")</f>
        <v>稼働中</v>
      </c>
      <c r="J14" s="6">
        <f>IF(SUMPRODUCT(MAX((医療機器履歴!$B$2:$B$500=$A14)*(医療機器履歴!$C$2:$C$500="ACT002")*医療機器履歴!$I$2:$I$500))=0,"",SUMPRODUCT(MAX((医療機器履歴!$B$2:$B$500=$A14)*(医療機器履歴!$C$2:$C$500="ACT002")*医療機器履歴!$I$2:$I$500)))</f>
        <v>46279</v>
      </c>
      <c r="K14" s="6">
        <f>IFERROR(IF($J14="","",EDATE($J14,VLOOKUP(VLOOKUP($A14,機器マスタ!$A:$U,3,FALSE),機器区分マスタ!$A:$G,6,FALSE))),"")</f>
        <v>46309</v>
      </c>
      <c r="L14" s="6">
        <f>IF(SUMPRODUCT(MAX((医療機器履歴!$B$2:$B$500=$A14)*(医療機器履歴!$C$2:$C$500="ACT003")*医療機器履歴!$I$2:$I$500))=0,"",SUMPRODUCT(MAX((医療機器履歴!$B$2:$B$500=$A14)*(医療機器履歴!$C$2:$C$500="ACT003")*医療機器履歴!$I$2:$I$500)))</f>
        <v>46132</v>
      </c>
      <c r="M14" s="6">
        <f>IFERROR(IF(OR($L14="",N(VLOOKUP(VLOOKUP($A14,機器マスタ!$A:$U,3,FALSE),機器区分マスタ!$A:$G,7,FALSE))=0),"",EDATE($L14,VLOOKUP(VLOOKUP($A14,機器マスタ!$A:$U,3,FALSE),機器区分マスタ!$A:$G,7,FALSE))),"")</f>
        <v>46497</v>
      </c>
      <c r="N14" s="9">
        <f ca="1">IFERROR(DATEDIF(VLOOKUP($A14,機器マスタ!$A:$U,11,FALSE),TODAY(),"Y"),"")</f>
        <v>5</v>
      </c>
      <c r="O14" s="5" t="str">
        <f>IFERROR(VLOOKUP(VLOOKUP($A14,機器マスタ!$A:$U,3,FALSE),機器区分マスタ!$A:$C,3,FALSE)&amp;"","")</f>
        <v>〇</v>
      </c>
      <c r="P14" s="5" t="str">
        <f>IFERROR(VLOOKUP($A14,機器マスタ!$A:$U,7,FALSE)&amp;"","")</f>
        <v>Ⅲ</v>
      </c>
      <c r="Q14" s="5" t="str">
        <f>IFERROR(VLOOKUP($A14,機器マスタ!$A:$U,20,FALSE)&amp;"","")</f>
        <v>BOX0013</v>
      </c>
      <c r="R14" s="5" t="str">
        <f>IFERROR(VLOOKUP($A14,機器マスタ!$A:$U,21,FALSE)&amp;"","")</f>
        <v>パッド期限 2027/03</v>
      </c>
    </row>
    <row r="15" spans="1:18" x14ac:dyDescent="0.15">
      <c r="A15" s="5" t="str">
        <f>IFERROR(機器マスタ!A15&amp;"","")</f>
        <v>A2642</v>
      </c>
      <c r="B15" s="5" t="str">
        <f>IFERROR(VLOOKUP($A15,機器マスタ!$A:$U,2,FALSE)&amp;"","")</f>
        <v>KEZ01</v>
      </c>
      <c r="C15" s="5" t="str">
        <f>IFERROR(VLOOKUP($A15,機器マスタ!$A:$U,4,FALSE)&amp;"","")</f>
        <v>検像端末</v>
      </c>
      <c r="D15" s="5" t="str">
        <f>IFERROR(VLOOKUP($A15,機器マスタ!$A:$U,6,FALSE)&amp;"","")</f>
        <v>富士フィルム医療ソリューションズ</v>
      </c>
      <c r="E15" s="5" t="str">
        <f>IFERROR(VLOOKUP($A15,機器マスタ!$A:$U,8,FALSE)&amp;"","")</f>
        <v>KEZ01</v>
      </c>
      <c r="F15" s="5" t="str">
        <f>IFERROR(VLOOKUP($A15,機器マスタ!$A:$U,9,FALSE)&amp;"","")</f>
        <v>6M45HV2</v>
      </c>
      <c r="G15" s="5" t="str">
        <f>IFERROR(VLOOKUP($A15,機器マスタ!$A:$U,15,FALSE)&amp;"","")</f>
        <v>画像検査部</v>
      </c>
      <c r="H15" s="5" t="str">
        <f>IFERROR(VLOOKUP($A15,機器マスタ!$A:$U,17,FALSE)&amp;"","")</f>
        <v>MRI操作室</v>
      </c>
      <c r="I15" s="5" t="str">
        <f>IFERROR(VLOOKUP($A15,機器マスタ!$A:$U,19,FALSE)&amp;"","")</f>
        <v>廃棄</v>
      </c>
      <c r="J15" s="6" t="str">
        <f>IF(SUMPRODUCT(MAX((医療機器履歴!$B$2:$B$500=$A15)*(医療機器履歴!$C$2:$C$500="ACT002")*医療機器履歴!$I$2:$I$500))=0,"",SUMPRODUCT(MAX((医療機器履歴!$B$2:$B$500=$A15)*(医療機器履歴!$C$2:$C$500="ACT002")*医療機器履歴!$I$2:$I$500)))</f>
        <v/>
      </c>
      <c r="K15" s="6" t="str">
        <f>IFERROR(IF($J15="","",EDATE($J15,VLOOKUP(VLOOKUP($A15,機器マスタ!$A:$U,3,FALSE),機器区分マスタ!$A:$G,6,FALSE))),"")</f>
        <v/>
      </c>
      <c r="L15" s="6" t="str">
        <f>IF(SUMPRODUCT(MAX((医療機器履歴!$B$2:$B$500=$A15)*(医療機器履歴!$C$2:$C$500="ACT003")*医療機器履歴!$I$2:$I$500))=0,"",SUMPRODUCT(MAX((医療機器履歴!$B$2:$B$500=$A15)*(医療機器履歴!$C$2:$C$500="ACT003")*医療機器履歴!$I$2:$I$500)))</f>
        <v/>
      </c>
      <c r="M15" s="6" t="str">
        <f>IFERROR(IF(OR($L15="",N(VLOOKUP(VLOOKUP($A15,機器マスタ!$A:$U,3,FALSE),機器区分マスタ!$A:$G,7,FALSE))=0),"",EDATE($L15,VLOOKUP(VLOOKUP($A15,機器マスタ!$A:$U,3,FALSE),機器区分マスタ!$A:$G,7,FALSE))),"")</f>
        <v/>
      </c>
      <c r="N15" s="9">
        <f ca="1">IFERROR(DATEDIF(VLOOKUP($A15,機器マスタ!$A:$U,11,FALSE),TODAY(),"Y"),"")</f>
        <v>9</v>
      </c>
      <c r="O15" s="5" t="str">
        <f>IFERROR(VLOOKUP(VLOOKUP($A15,機器マスタ!$A:$U,3,FALSE),機器区分マスタ!$A:$C,3,FALSE)&amp;"","")</f>
        <v/>
      </c>
      <c r="P15" s="5" t="str">
        <f>IFERROR(VLOOKUP($A15,機器マスタ!$A:$U,7,FALSE)&amp;"","")</f>
        <v/>
      </c>
      <c r="Q15" s="5" t="str">
        <f>IFERROR(VLOOKUP($A15,機器マスタ!$A:$U,20,FALSE)&amp;"","")</f>
        <v>BOX0014</v>
      </c>
      <c r="R15" s="5" t="str">
        <f>IFERROR(VLOOKUP($A15,機器マスタ!$A:$U,21,FALSE)&amp;"","")</f>
        <v>2026/6 更新により廃棄</v>
      </c>
    </row>
    <row r="16" spans="1:18" x14ac:dyDescent="0.15">
      <c r="A16" s="5" t="str">
        <f>IFERROR(機器マスタ!A16&amp;"","")</f>
        <v>A2771</v>
      </c>
      <c r="B16" s="5" t="str">
        <f>IFERROR(VLOOKUP($A16,機器マスタ!$A:$U,2,FALSE)&amp;"","")</f>
        <v>壁掛式流量計</v>
      </c>
      <c r="C16" s="5" t="str">
        <f>IFERROR(VLOOKUP($A16,機器マスタ!$A:$U,4,FALSE)&amp;"","")</f>
        <v>壁掛式流量計</v>
      </c>
      <c r="D16" s="5" t="str">
        <f>IFERROR(VLOOKUP($A16,機器マスタ!$A:$U,6,FALSE)&amp;"","")</f>
        <v>小池メディカル</v>
      </c>
      <c r="E16" s="5" t="str">
        <f>IFERROR(VLOOKUP($A16,機器マスタ!$A:$U,8,FALSE)&amp;"","")</f>
        <v>KF-200</v>
      </c>
      <c r="F16" s="5" t="str">
        <f>IFERROR(VLOOKUP($A16,機器マスタ!$A:$U,9,FALSE)&amp;"","")</f>
        <v>KM19-0771</v>
      </c>
      <c r="G16" s="5" t="str">
        <f>IFERROR(VLOOKUP($A16,機器マスタ!$A:$U,15,FALSE)&amp;"","")</f>
        <v>1F病棟</v>
      </c>
      <c r="H16" s="5" t="str">
        <f>IFERROR(VLOOKUP($A16,機器マスタ!$A:$U,17,FALSE)&amp;"","")</f>
        <v>処置室</v>
      </c>
      <c r="I16" s="5" t="str">
        <f>IFERROR(VLOOKUP($A16,機器マスタ!$A:$U,19,FALSE)&amp;"","")</f>
        <v>稼働中</v>
      </c>
      <c r="J16" s="6">
        <f>IF(SUMPRODUCT(MAX((医療機器履歴!$B$2:$B$500=$A16)*(医療機器履歴!$C$2:$C$500="ACT002")*医療機器履歴!$I$2:$I$500))=0,"",SUMPRODUCT(MAX((医療機器履歴!$B$2:$B$500=$A16)*(医療機器履歴!$C$2:$C$500="ACT002")*医療機器履歴!$I$2:$I$500)))</f>
        <v>46266</v>
      </c>
      <c r="K16" s="6">
        <f>IFERROR(IF($J16="","",EDATE($J16,VLOOKUP(VLOOKUP($A16,機器マスタ!$A:$U,3,FALSE),機器区分マスタ!$A:$G,6,FALSE))),"")</f>
        <v>46447</v>
      </c>
      <c r="L16" s="6" t="str">
        <f>IF(SUMPRODUCT(MAX((医療機器履歴!$B$2:$B$500=$A16)*(医療機器履歴!$C$2:$C$500="ACT003")*医療機器履歴!$I$2:$I$500))=0,"",SUMPRODUCT(MAX((医療機器履歴!$B$2:$B$500=$A16)*(医療機器履歴!$C$2:$C$500="ACT003")*医療機器履歴!$I$2:$I$500)))</f>
        <v/>
      </c>
      <c r="M16" s="6" t="str">
        <f>IFERROR(IF(OR($L16="",N(VLOOKUP(VLOOKUP($A16,機器マスタ!$A:$U,3,FALSE),機器区分マスタ!$A:$G,7,FALSE))=0),"",EDATE($L16,VLOOKUP(VLOOKUP($A16,機器マスタ!$A:$U,3,FALSE),機器区分マスタ!$A:$G,7,FALSE))),"")</f>
        <v/>
      </c>
      <c r="N16" s="9">
        <f ca="1">IFERROR(DATEDIF(VLOOKUP($A16,機器マスタ!$A:$U,11,FALSE),TODAY(),"Y"),"")</f>
        <v>7</v>
      </c>
      <c r="O16" s="5" t="str">
        <f>IFERROR(VLOOKUP(VLOOKUP($A16,機器マスタ!$A:$U,3,FALSE),機器区分マスタ!$A:$C,3,FALSE)&amp;"","")</f>
        <v>〇</v>
      </c>
      <c r="P16" s="5" t="str">
        <f>IFERROR(VLOOKUP($A16,機器マスタ!$A:$U,7,FALSE)&amp;"","")</f>
        <v>Ⅱ</v>
      </c>
      <c r="Q16" s="5" t="str">
        <f>IFERROR(VLOOKUP($A16,機器マスタ!$A:$U,20,FALSE)&amp;"","")</f>
        <v>BOX0015</v>
      </c>
      <c r="R16" s="5" t="str">
        <f>IFERROR(VLOOKUP($A16,機器マスタ!$A:$U,21,FALSE)&amp;"","")</f>
        <v/>
      </c>
    </row>
    <row r="17" spans="1:18" x14ac:dyDescent="0.15">
      <c r="A17" s="5" t="str">
        <f>IFERROR(機器マスタ!A17&amp;"","")</f>
        <v>A2956</v>
      </c>
      <c r="B17" s="5" t="str">
        <f>IFERROR(VLOOKUP($A17,機器マスタ!$A:$U,2,FALSE)&amp;"","")</f>
        <v>AeroDR</v>
      </c>
      <c r="C17" s="5" t="str">
        <f>IFERROR(VLOOKUP($A17,機器マスタ!$A:$U,4,FALSE)&amp;"","")</f>
        <v>FPD</v>
      </c>
      <c r="D17" s="5" t="str">
        <f>IFERROR(VLOOKUP($A17,機器マスタ!$A:$U,6,FALSE)&amp;"","")</f>
        <v>コニカミノルタ</v>
      </c>
      <c r="E17" s="5" t="str">
        <f>IFERROR(VLOOKUP($A17,機器マスタ!$A:$U,8,FALSE)&amp;"","")</f>
        <v>AeroDR</v>
      </c>
      <c r="F17" s="5" t="str">
        <f>IFERROR(VLOOKUP($A17,機器マスタ!$A:$U,9,FALSE)&amp;"","")</f>
        <v>A33G-61362</v>
      </c>
      <c r="G17" s="5" t="str">
        <f>IFERROR(VLOOKUP($A17,機器マスタ!$A:$U,15,FALSE)&amp;"","")</f>
        <v>画像検査部</v>
      </c>
      <c r="H17" s="5" t="str">
        <f>IFERROR(VLOOKUP($A17,機器マスタ!$A:$U,17,FALSE)&amp;"","")</f>
        <v>第2撮影室</v>
      </c>
      <c r="I17" s="5" t="str">
        <f>IFERROR(VLOOKUP($A17,機器マスタ!$A:$U,19,FALSE)&amp;"","")</f>
        <v>稼働中</v>
      </c>
      <c r="J17" s="6">
        <f>IF(SUMPRODUCT(MAX((医療機器履歴!$B$2:$B$500=$A17)*(医療機器履歴!$C$2:$C$500="ACT002")*医療機器履歴!$I$2:$I$500))=0,"",SUMPRODUCT(MAX((医療機器履歴!$B$2:$B$500=$A17)*(医療機器履歴!$C$2:$C$500="ACT002")*医療機器履歴!$I$2:$I$500)))</f>
        <v>46239</v>
      </c>
      <c r="K17" s="6">
        <f>IFERROR(IF($J17="","",EDATE($J17,VLOOKUP(VLOOKUP($A17,機器マスタ!$A:$U,3,FALSE),機器区分マスタ!$A:$G,6,FALSE))),"")</f>
        <v>46331</v>
      </c>
      <c r="L17" s="6">
        <f>IF(SUMPRODUCT(MAX((医療機器履歴!$B$2:$B$500=$A17)*(医療機器履歴!$C$2:$C$500="ACT003")*医療機器履歴!$I$2:$I$500))=0,"",SUMPRODUCT(MAX((医療機器履歴!$B$2:$B$500=$A17)*(医療機器履歴!$C$2:$C$500="ACT003")*医療機器履歴!$I$2:$I$500)))</f>
        <v>46160</v>
      </c>
      <c r="M17" s="6">
        <f>IFERROR(IF(OR($L17="",N(VLOOKUP(VLOOKUP($A17,機器マスタ!$A:$U,3,FALSE),機器区分マスタ!$A:$G,7,FALSE))=0),"",EDATE($L17,VLOOKUP(VLOOKUP($A17,機器マスタ!$A:$U,3,FALSE),機器区分マスタ!$A:$G,7,FALSE))),"")</f>
        <v>46525</v>
      </c>
      <c r="N17" s="9">
        <f ca="1">IFERROR(DATEDIF(VLOOKUP($A17,機器マスタ!$A:$U,11,FALSE),TODAY(),"Y"),"")</f>
        <v>2</v>
      </c>
      <c r="O17" s="5" t="str">
        <f>IFERROR(VLOOKUP(VLOOKUP($A17,機器マスタ!$A:$U,3,FALSE),機器区分マスタ!$A:$C,3,FALSE)&amp;"","")</f>
        <v>〇</v>
      </c>
      <c r="P17" s="5" t="str">
        <f>IFERROR(VLOOKUP($A17,機器マスタ!$A:$U,7,FALSE)&amp;"","")</f>
        <v>Ⅱ</v>
      </c>
      <c r="Q17" s="5" t="str">
        <f>IFERROR(VLOOKUP($A17,機器マスタ!$A:$U,20,FALSE)&amp;"","")</f>
        <v>BOX0016</v>
      </c>
      <c r="R17" s="5" t="str">
        <f>IFERROR(VLOOKUP($A17,機器マスタ!$A:$U,21,FALSE)&amp;"","")</f>
        <v>フルメンテ保守</v>
      </c>
    </row>
    <row r="18" spans="1:18" x14ac:dyDescent="0.15">
      <c r="A18" s="5" t="str">
        <f>IFERROR(機器マスタ!A18&amp;"","")</f>
        <v>A2980</v>
      </c>
      <c r="B18" s="5" t="str">
        <f>IFERROR(VLOOKUP($A18,機器マスタ!$A:$U,2,FALSE)&amp;"","")</f>
        <v>フィジオアクティブ HV PHV-1</v>
      </c>
      <c r="C18" s="5" t="str">
        <f>IFERROR(VLOOKUP($A18,機器マスタ!$A:$U,4,FALSE)&amp;"","")</f>
        <v>低周波治療器</v>
      </c>
      <c r="D18" s="5" t="str">
        <f>IFERROR(VLOOKUP($A18,機器マスタ!$A:$U,6,FALSE)&amp;"","")</f>
        <v>酒井医療</v>
      </c>
      <c r="E18" s="5" t="str">
        <f>IFERROR(VLOOKUP($A18,機器マスタ!$A:$U,8,FALSE)&amp;"","")</f>
        <v>PHV-1</v>
      </c>
      <c r="F18" s="5" t="str">
        <f>IFERROR(VLOOKUP($A18,機器マスタ!$A:$U,9,FALSE)&amp;"","")</f>
        <v>78005167N</v>
      </c>
      <c r="G18" s="5" t="str">
        <f>IFERROR(VLOOKUP($A18,機器マスタ!$A:$U,15,FALSE)&amp;"","")</f>
        <v>理学診療部</v>
      </c>
      <c r="H18" s="5" t="str">
        <f>IFERROR(VLOOKUP($A18,機器マスタ!$A:$U,17,FALSE)&amp;"","")</f>
        <v>リハビリ室</v>
      </c>
      <c r="I18" s="5" t="str">
        <f>IFERROR(VLOOKUP($A18,機器マスタ!$A:$U,19,FALSE)&amp;"","")</f>
        <v>稼働中</v>
      </c>
      <c r="J18" s="6">
        <f>IF(SUMPRODUCT(MAX((医療機器履歴!$B$2:$B$500=$A18)*(医療機器履歴!$C$2:$C$500="ACT002")*医療機器履歴!$I$2:$I$500))=0,"",SUMPRODUCT(MAX((医療機器履歴!$B$2:$B$500=$A18)*(医療機器履歴!$C$2:$C$500="ACT002")*医療機器履歴!$I$2:$I$500)))</f>
        <v>46289</v>
      </c>
      <c r="K18" s="6">
        <f>IFERROR(IF($J18="","",EDATE($J18,VLOOKUP(VLOOKUP($A18,機器マスタ!$A:$U,3,FALSE),機器区分マスタ!$A:$G,6,FALSE))),"")</f>
        <v>46319</v>
      </c>
      <c r="L18" s="6" t="str">
        <f>IF(SUMPRODUCT(MAX((医療機器履歴!$B$2:$B$500=$A18)*(医療機器履歴!$C$2:$C$500="ACT003")*医療機器履歴!$I$2:$I$500))=0,"",SUMPRODUCT(MAX((医療機器履歴!$B$2:$B$500=$A18)*(医療機器履歴!$C$2:$C$500="ACT003")*医療機器履歴!$I$2:$I$500)))</f>
        <v/>
      </c>
      <c r="M18" s="6" t="str">
        <f>IFERROR(IF(OR($L18="",N(VLOOKUP(VLOOKUP($A18,機器マスタ!$A:$U,3,FALSE),機器区分マスタ!$A:$G,7,FALSE))=0),"",EDATE($L18,VLOOKUP(VLOOKUP($A18,機器マスタ!$A:$U,3,FALSE),機器区分マスタ!$A:$G,7,FALSE))),"")</f>
        <v/>
      </c>
      <c r="N18" s="9">
        <f ca="1">IFERROR(DATEDIF(VLOOKUP($A18,機器マスタ!$A:$U,11,FALSE),TODAY(),"Y"),"")</f>
        <v>2</v>
      </c>
      <c r="O18" s="5" t="str">
        <f>IFERROR(VLOOKUP(VLOOKUP($A18,機器マスタ!$A:$U,3,FALSE),機器区分マスタ!$A:$C,3,FALSE)&amp;"","")</f>
        <v>〇</v>
      </c>
      <c r="P18" s="5" t="str">
        <f>IFERROR(VLOOKUP($A18,機器マスタ!$A:$U,7,FALSE)&amp;"","")</f>
        <v>Ⅱ</v>
      </c>
      <c r="Q18" s="5" t="str">
        <f>IFERROR(VLOOKUP($A18,機器マスタ!$A:$U,20,FALSE)&amp;"","")</f>
        <v>BOX0017</v>
      </c>
      <c r="R18" s="5" t="str">
        <f>IFERROR(VLOOKUP($A18,機器マスタ!$A:$U,21,FALSE)&amp;"","")</f>
        <v/>
      </c>
    </row>
    <row r="19" spans="1:18" x14ac:dyDescent="0.15">
      <c r="A19" s="5" t="str">
        <f>IFERROR(機器マスタ!A19&amp;"","")</f>
        <v>A3292</v>
      </c>
      <c r="B19" s="5" t="str">
        <f>IFERROR(VLOOKUP($A19,機器マスタ!$A:$U,2,FALSE)&amp;"","")</f>
        <v>カーディサニー C330</v>
      </c>
      <c r="C19" s="5" t="str">
        <f>IFERROR(VLOOKUP($A19,機器マスタ!$A:$U,4,FALSE)&amp;"","")</f>
        <v>多機能心電計</v>
      </c>
      <c r="D19" s="5" t="str">
        <f>IFERROR(VLOOKUP($A19,機器マスタ!$A:$U,6,FALSE)&amp;"","")</f>
        <v>フクダ電子</v>
      </c>
      <c r="E19" s="5" t="str">
        <f>IFERROR(VLOOKUP($A19,機器マスタ!$A:$U,8,FALSE)&amp;"","")</f>
        <v>C330</v>
      </c>
      <c r="F19" s="5" t="str">
        <f>IFERROR(VLOOKUP($A19,機器マスタ!$A:$U,9,FALSE)&amp;"","")</f>
        <v>40800113</v>
      </c>
      <c r="G19" s="5" t="str">
        <f>IFERROR(VLOOKUP($A19,機器マスタ!$A:$U,15,FALSE)&amp;"","")</f>
        <v>臨床検査部</v>
      </c>
      <c r="H19" s="5" t="str">
        <f>IFERROR(VLOOKUP($A19,機器マスタ!$A:$U,17,FALSE)&amp;"","")</f>
        <v>1B 生理検査室</v>
      </c>
      <c r="I19" s="5" t="str">
        <f>IFERROR(VLOOKUP($A19,機器マスタ!$A:$U,19,FALSE)&amp;"","")</f>
        <v>稼働中</v>
      </c>
      <c r="J19" s="6">
        <f>IF(SUMPRODUCT(MAX((医療機器履歴!$B$2:$B$500=$A19)*(医療機器履歴!$C$2:$C$500="ACT002")*医療機器履歴!$I$2:$I$500))=0,"",SUMPRODUCT(MAX((医療機器履歴!$B$2:$B$500=$A19)*(医療機器履歴!$C$2:$C$500="ACT002")*医療機器履歴!$I$2:$I$500)))</f>
        <v>46233</v>
      </c>
      <c r="K19" s="6">
        <f>IFERROR(IF($J19="","",EDATE($J19,VLOOKUP(VLOOKUP($A19,機器マスタ!$A:$U,3,FALSE),機器区分マスタ!$A:$G,6,FALSE))),"")</f>
        <v>46325</v>
      </c>
      <c r="L19" s="6" t="str">
        <f>IF(SUMPRODUCT(MAX((医療機器履歴!$B$2:$B$500=$A19)*(医療機器履歴!$C$2:$C$500="ACT003")*医療機器履歴!$I$2:$I$500))=0,"",SUMPRODUCT(MAX((医療機器履歴!$B$2:$B$500=$A19)*(医療機器履歴!$C$2:$C$500="ACT003")*医療機器履歴!$I$2:$I$500)))</f>
        <v/>
      </c>
      <c r="M19" s="6" t="str">
        <f>IFERROR(IF(OR($L19="",N(VLOOKUP(VLOOKUP($A19,機器マスタ!$A:$U,3,FALSE),機器区分マスタ!$A:$G,7,FALSE))=0),"",EDATE($L19,VLOOKUP(VLOOKUP($A19,機器マスタ!$A:$U,3,FALSE),機器区分マスタ!$A:$G,7,FALSE))),"")</f>
        <v/>
      </c>
      <c r="N19" s="9">
        <f ca="1">IFERROR(DATEDIF(VLOOKUP($A19,機器マスタ!$A:$U,11,FALSE),TODAY(),"Y"),"")</f>
        <v>16</v>
      </c>
      <c r="O19" s="5" t="str">
        <f>IFERROR(VLOOKUP(VLOOKUP($A19,機器マスタ!$A:$U,3,FALSE),機器区分マスタ!$A:$C,3,FALSE)&amp;"","")</f>
        <v>〇</v>
      </c>
      <c r="P19" s="5" t="str">
        <f>IFERROR(VLOOKUP($A19,機器マスタ!$A:$U,7,FALSE)&amp;"","")</f>
        <v>Ⅱ</v>
      </c>
      <c r="Q19" s="5" t="str">
        <f>IFERROR(VLOOKUP($A19,機器マスタ!$A:$U,20,FALSE)&amp;"","")</f>
        <v>BOX0018</v>
      </c>
      <c r="R19" s="5" t="str">
        <f>IFERROR(VLOOKUP($A19,機器マスタ!$A:$U,21,FALSE)&amp;"","")</f>
        <v/>
      </c>
    </row>
    <row r="20" spans="1:18" x14ac:dyDescent="0.15">
      <c r="A20" s="5" t="str">
        <f>IFERROR(機器マスタ!A20&amp;"","")</f>
        <v>A3293</v>
      </c>
      <c r="B20" s="5" t="str">
        <f>IFERROR(VLOOKUP($A20,機器マスタ!$A:$U,2,FALSE)&amp;"","")</f>
        <v>HemioMX SSA-590A</v>
      </c>
      <c r="C20" s="5" t="str">
        <f>IFERROR(VLOOKUP($A20,機器マスタ!$A:$U,4,FALSE)&amp;"","")</f>
        <v>超音波診断装置</v>
      </c>
      <c r="D20" s="5" t="str">
        <f>IFERROR(VLOOKUP($A20,機器マスタ!$A:$U,6,FALSE)&amp;"","")</f>
        <v>キヤノンメディカル</v>
      </c>
      <c r="E20" s="5" t="str">
        <f>IFERROR(VLOOKUP($A20,機器マスタ!$A:$U,8,FALSE)&amp;"","")</f>
        <v>SSA-590A</v>
      </c>
      <c r="F20" s="5" t="str">
        <f>IFERROR(VLOOKUP($A20,機器マスタ!$A:$U,9,FALSE)&amp;"","")</f>
        <v>99A1344613</v>
      </c>
      <c r="G20" s="5" t="str">
        <f>IFERROR(VLOOKUP($A20,機器マスタ!$A:$U,15,FALSE)&amp;"","")</f>
        <v>臨床検査部</v>
      </c>
      <c r="H20" s="5" t="str">
        <f>IFERROR(VLOOKUP($A20,機器マスタ!$A:$U,17,FALSE)&amp;"","")</f>
        <v>1B 生理検査室</v>
      </c>
      <c r="I20" s="5" t="str">
        <f>IFERROR(VLOOKUP($A20,機器マスタ!$A:$U,19,FALSE)&amp;"","")</f>
        <v>稼働中</v>
      </c>
      <c r="J20" s="6">
        <f>IF(SUMPRODUCT(MAX((医療機器履歴!$B$2:$B$500=$A20)*(医療機器履歴!$C$2:$C$500="ACT002")*医療機器履歴!$I$2:$I$500))=0,"",SUMPRODUCT(MAX((医療機器履歴!$B$2:$B$500=$A20)*(医療機器履歴!$C$2:$C$500="ACT002")*医療機器履歴!$I$2:$I$500)))</f>
        <v>46245</v>
      </c>
      <c r="K20" s="6">
        <f>IFERROR(IF($J20="","",EDATE($J20,VLOOKUP(VLOOKUP($A20,機器マスタ!$A:$U,3,FALSE),機器区分マスタ!$A:$G,6,FALSE))),"")</f>
        <v>46337</v>
      </c>
      <c r="L20" s="6">
        <f>IF(SUMPRODUCT(MAX((医療機器履歴!$B$2:$B$500=$A20)*(医療機器履歴!$C$2:$C$500="ACT003")*医療機器履歴!$I$2:$I$500))=0,"",SUMPRODUCT(MAX((医療機器履歴!$B$2:$B$500=$A20)*(医療機器履歴!$C$2:$C$500="ACT003")*医療機器履歴!$I$2:$I$500)))</f>
        <v>46083</v>
      </c>
      <c r="M20" s="6">
        <f>IFERROR(IF(OR($L20="",N(VLOOKUP(VLOOKUP($A20,機器マスタ!$A:$U,3,FALSE),機器区分マスタ!$A:$G,7,FALSE))=0),"",EDATE($L20,VLOOKUP(VLOOKUP($A20,機器マスタ!$A:$U,3,FALSE),機器区分マスタ!$A:$G,7,FALSE))),"")</f>
        <v>46448</v>
      </c>
      <c r="N20" s="9">
        <f ca="1">IFERROR(DATEDIF(VLOOKUP($A20,機器マスタ!$A:$U,11,FALSE),TODAY(),"Y"),"")</f>
        <v>13</v>
      </c>
      <c r="O20" s="5" t="str">
        <f>IFERROR(VLOOKUP(VLOOKUP($A20,機器マスタ!$A:$U,3,FALSE),機器区分マスタ!$A:$C,3,FALSE)&amp;"","")</f>
        <v>〇</v>
      </c>
      <c r="P20" s="5" t="str">
        <f>IFERROR(VLOOKUP($A20,機器マスタ!$A:$U,7,FALSE)&amp;"","")</f>
        <v>Ⅱ</v>
      </c>
      <c r="Q20" s="5" t="str">
        <f>IFERROR(VLOOKUP($A20,機器マスタ!$A:$U,20,FALSE)&amp;"","")</f>
        <v>BOX0019</v>
      </c>
      <c r="R20" s="5" t="str">
        <f>IFERROR(VLOOKUP($A20,機器マスタ!$A:$U,21,FALSE)&amp;"","")</f>
        <v/>
      </c>
    </row>
    <row r="21" spans="1:18" x14ac:dyDescent="0.15">
      <c r="A21" s="5" t="str">
        <f>IFERROR(機器マスタ!A21&amp;"","")</f>
        <v>A3294</v>
      </c>
      <c r="B21" s="5" t="str">
        <f>IFERROR(VLOOKUP($A21,機器マスタ!$A:$U,2,FALSE)&amp;"","")</f>
        <v>リニア PLM-703AT</v>
      </c>
      <c r="C21" s="5" t="str">
        <f>IFERROR(VLOOKUP($A21,機器マスタ!$A:$U,4,FALSE)&amp;"","")</f>
        <v>超音波プローブ</v>
      </c>
      <c r="D21" s="5" t="str">
        <f>IFERROR(VLOOKUP($A21,機器マスタ!$A:$U,6,FALSE)&amp;"","")</f>
        <v>キヤノンメディカル</v>
      </c>
      <c r="E21" s="5" t="str">
        <f>IFERROR(VLOOKUP($A21,機器マスタ!$A:$U,8,FALSE)&amp;"","")</f>
        <v>PLM-703AT</v>
      </c>
      <c r="F21" s="5" t="str">
        <f>IFERROR(VLOOKUP($A21,機器マスタ!$A:$U,9,FALSE)&amp;"","")</f>
        <v>TDA1336595</v>
      </c>
      <c r="G21" s="5" t="str">
        <f>IFERROR(VLOOKUP($A21,機器マスタ!$A:$U,15,FALSE)&amp;"","")</f>
        <v>臨床検査部</v>
      </c>
      <c r="H21" s="5" t="str">
        <f>IFERROR(VLOOKUP($A21,機器マスタ!$A:$U,17,FALSE)&amp;"","")</f>
        <v>1B 生理検査室</v>
      </c>
      <c r="I21" s="5" t="str">
        <f>IFERROR(VLOOKUP($A21,機器マスタ!$A:$U,19,FALSE)&amp;"","")</f>
        <v>稼働中</v>
      </c>
      <c r="J21" s="6" t="str">
        <f>IF(SUMPRODUCT(MAX((医療機器履歴!$B$2:$B$500=$A21)*(医療機器履歴!$C$2:$C$500="ACT002")*医療機器履歴!$I$2:$I$500))=0,"",SUMPRODUCT(MAX((医療機器履歴!$B$2:$B$500=$A21)*(医療機器履歴!$C$2:$C$500="ACT002")*医療機器履歴!$I$2:$I$500)))</f>
        <v/>
      </c>
      <c r="K21" s="6" t="str">
        <f>IFERROR(IF($J21="","",EDATE($J21,VLOOKUP(VLOOKUP($A21,機器マスタ!$A:$U,3,FALSE),機器区分マスタ!$A:$G,6,FALSE))),"")</f>
        <v/>
      </c>
      <c r="L21" s="6">
        <f>IF(SUMPRODUCT(MAX((医療機器履歴!$B$2:$B$500=$A21)*(医療機器履歴!$C$2:$C$500="ACT003")*医療機器履歴!$I$2:$I$500))=0,"",SUMPRODUCT(MAX((医療機器履歴!$B$2:$B$500=$A21)*(医療機器履歴!$C$2:$C$500="ACT003")*医療機器履歴!$I$2:$I$500)))</f>
        <v>46077</v>
      </c>
      <c r="M21" s="6">
        <f>IFERROR(IF(OR($L21="",N(VLOOKUP(VLOOKUP($A21,機器マスタ!$A:$U,3,FALSE),機器区分マスタ!$A:$G,7,FALSE))=0),"",EDATE($L21,VLOOKUP(VLOOKUP($A21,機器マスタ!$A:$U,3,FALSE),機器区分マスタ!$A:$G,7,FALSE))),"")</f>
        <v>46442</v>
      </c>
      <c r="N21" s="9">
        <f ca="1">IFERROR(DATEDIF(VLOOKUP($A21,機器マスタ!$A:$U,11,FALSE),TODAY(),"Y"),"")</f>
        <v>13</v>
      </c>
      <c r="O21" s="5" t="str">
        <f>IFERROR(VLOOKUP(VLOOKUP($A21,機器マスタ!$A:$U,3,FALSE),機器区分マスタ!$A:$C,3,FALSE)&amp;"","")</f>
        <v>〇</v>
      </c>
      <c r="P21" s="5" t="str">
        <f>IFERROR(VLOOKUP($A21,機器マスタ!$A:$U,7,FALSE)&amp;"","")</f>
        <v>Ⅱ</v>
      </c>
      <c r="Q21" s="5" t="str">
        <f>IFERROR(VLOOKUP($A21,機器マスタ!$A:$U,20,FALSE)&amp;"","")</f>
        <v>BOX0020</v>
      </c>
      <c r="R21" s="5" t="str">
        <f>IFERROR(VLOOKUP($A21,機器マスタ!$A:$U,21,FALSE)&amp;"","")</f>
        <v>A3293の付属プローブ</v>
      </c>
    </row>
  </sheetData>
  <autoFilter ref="A1:R1" xr:uid="{00000000-0009-0000-0000-00000B000000}"/>
  <phoneticPr fontId="2"/>
  <conditionalFormatting sqref="K2:K21">
    <cfRule type="expression" dxfId="3" priority="1">
      <formula>AND($K2&lt;&gt;"",$K2&lt;TODAY())</formula>
    </cfRule>
  </conditionalFormatting>
  <conditionalFormatting sqref="M2:M21">
    <cfRule type="expression" dxfId="2" priority="2">
      <formula>AND($M2&lt;&gt;"",$M2&lt;TODAY())</formula>
    </cfRule>
  </conditionalFormatting>
  <conditionalFormatting sqref="A2:R21">
    <cfRule type="expression" dxfId="1" priority="3">
      <formula>$I2="廃棄"</formula>
    </cfRule>
    <cfRule type="expression" dxfId="0" priority="4">
      <formula>$I2="故障中"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機器マスタ</vt:lpstr>
      <vt:lpstr>機器区分マスタ</vt:lpstr>
      <vt:lpstr>部署マスタ</vt:lpstr>
      <vt:lpstr>保管場所マスタ</vt:lpstr>
      <vt:lpstr>メーカーマスタ</vt:lpstr>
      <vt:lpstr>点検表マスタ</vt:lpstr>
      <vt:lpstr>点検項目マスタ</vt:lpstr>
      <vt:lpstr>アクションマスタ</vt:lpstr>
      <vt:lpstr>ユーザーマスタ</vt:lpstr>
      <vt:lpstr>医療機器履歴</vt:lpstr>
      <vt:lpstr>点検結果</vt:lpstr>
      <vt:lpstr>医療機器管理台帳(View)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久保田 善彦</cp:lastModifiedBy>
  <dcterms:created xsi:type="dcterms:W3CDTF">2026-09-28T05:42:55Z</dcterms:created>
  <dcterms:modified xsi:type="dcterms:W3CDTF">2026-10-05T23:29:22Z</dcterms:modified>
</cp:coreProperties>
</file>